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Antwoorden" sheetId="2" state="visible" r:id="rId4"/>
    <sheet name="Bewijsregister" sheetId="3" state="visible" r:id="rId5"/>
    <sheet name="Open punten" sheetId="4" state="visible" r:id="rId6"/>
    <sheet name="Velden" sheetId="5" state="visible" r:id="rId7"/>
  </sheets>
  <definedNames>
    <definedName function="false" hidden="false" localSheetId="1" name="_xlnm.Print_Titles" vbProcedure="false">Antwoorden!$1:$1</definedName>
    <definedName function="false" hidden="true" localSheetId="1" name="_xlnm._FilterDatabase" vbProcedure="false">Antwoorden!$A$1:$M$16</definedName>
    <definedName function="false" hidden="false" localSheetId="2" name="_xlnm.Print_Titles" vbProcedure="false">Bewijsregister!$1:$1</definedName>
    <definedName function="false" hidden="true" localSheetId="2" name="_xlnm._FilterDatabase" vbProcedure="false">Bewijsregister!$A$1:$N$23</definedName>
    <definedName function="false" hidden="false" localSheetId="3" name="_xlnm.Print_Titles" vbProcedure="false">'Open punten'!$1:$1</definedName>
    <definedName function="false" hidden="true" localSheetId="3" name="_xlnm._FilterDatabase" vbProcedure="false">'Open punten'!$A$1:$G$4</definedName>
    <definedName function="false" hidden="false" localSheetId="4" name="_xlnm.Print_Titles" vbProcedure="false">Velden!$1:$1</definedName>
    <definedName function="false" hidden="false" name="as_of" vbProcedure="false">Start!$C$8</definedName>
    <definedName function="false" hidden="false" name="org_name" vbProcedure="false">Start!$C$6</definedName>
    <definedName function="false" hidden="false" name="org_website" vbProcedure="false">Start!$C$7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<sst xmlns="http://schemas.openxmlformats.org/spreadsheetml/2006/main" count="571" uniqueCount="323">
  <si>
    <t xml:space="preserve">Open Evidence Pack</t>
  </si>
  <si>
    <t xml:space="preserve">Een open, praktisch formaat om antwoorden op vragenlijsten gekoppeld te houden aan het bewijs erachter.</t>
  </si>
  <si>
    <t xml:space="preserve">Jouw organisatie</t>
  </si>
  <si>
    <t xml:space="preserve">Organisatie</t>
  </si>
  <si>
    <t xml:space="preserve">Voorbeeld Software B.V. (fictief)</t>
  </si>
  <si>
    <t xml:space="preserve">Website</t>
  </si>
  <si>
    <t xml:space="preserve">https://example.com</t>
  </si>
  <si>
    <t xml:space="preserve">Peildatum</t>
  </si>
  <si>
    <t xml:space="preserve">Vul de gele cellen in.</t>
  </si>
  <si>
    <t xml:space="preserve">Zo gebruik je dit werkboek</t>
  </si>
  <si>
    <t xml:space="preserve">1.</t>
  </si>
  <si>
    <t xml:space="preserve">Vul hierboven je organisatie in.</t>
  </si>
  <si>
    <t xml:space="preserve">2.</t>
  </si>
  <si>
    <t xml:space="preserve">Bewijsregister: zet hier de documenten, registraties, instellingen en resultaten die je kunt laten zien. Geef elk een code.</t>
  </si>
  <si>
    <t xml:space="preserve">3.</t>
  </si>
  <si>
    <t xml:space="preserve">Antwoorden: zet hier de vragen die steeds terugkomen, met het antwoord dat je hebt goedgekeurd en de bewijscodes erachter.</t>
  </si>
  <si>
    <t xml:space="preserve">4.</t>
  </si>
  <si>
    <t xml:space="preserve">Open punten: waar bewijs ontbreekt, schrijf je geen ja. Maak een open punt met een eigenaar en een streefdatum.</t>
  </si>
  <si>
    <t xml:space="preserve">5.</t>
  </si>
  <si>
    <t xml:space="preserve">Herzien: rode datums betekenen dat een antwoord, bewijs of open punt aandacht nodig heeft.</t>
  </si>
  <si>
    <t xml:space="preserve">6.</t>
  </si>
  <si>
    <t xml:space="preserve">Dit werkboek is een fictief voorbeeld. Voorbeeld Software B.V. bestaat niet. Gebruik het lege werkboek voor je eigen antwoorden.</t>
  </si>
  <si>
    <t xml:space="preserve">Overzicht</t>
  </si>
  <si>
    <t xml:space="preserve">Antwoorden</t>
  </si>
  <si>
    <t xml:space="preserve">  onderbouwd</t>
  </si>
  <si>
    <t xml:space="preserve">  deels onderbouwd</t>
  </si>
  <si>
    <t xml:space="preserve">  open punt</t>
  </si>
  <si>
    <t xml:space="preserve">  nee met uitleg</t>
  </si>
  <si>
    <t xml:space="preserve">  n.v.t.</t>
  </si>
  <si>
    <t xml:space="preserve">Antwoorden toe aan herziening</t>
  </si>
  <si>
    <t xml:space="preserve">Bewijsstukken</t>
  </si>
  <si>
    <t xml:space="preserve">Bewijs toe aan herziening</t>
  </si>
  <si>
    <t xml:space="preserve">Open punten niet afgerond</t>
  </si>
  <si>
    <t xml:space="preserve">Statussen van antwoorden</t>
  </si>
  <si>
    <t xml:space="preserve">onderbouwd</t>
  </si>
  <si>
    <t xml:space="preserve">Klopt en is onderbouwd met bewijs uit het register. Het korte antwoord mag ja, nee of deels zijn.</t>
  </si>
  <si>
    <t xml:space="preserve">deels onderbouwd</t>
  </si>
  <si>
    <t xml:space="preserve">Grotendeels geregeld en onderbouwd. Een kleiner restant is een open punt.</t>
  </si>
  <si>
    <t xml:space="preserve">open punt</t>
  </si>
  <si>
    <t xml:space="preserve">Het belangrijkste deel van de vraag is nog niet geregeld. Er is een open punt met een plan.</t>
  </si>
  <si>
    <t xml:space="preserve">nee met uitleg</t>
  </si>
  <si>
    <t xml:space="preserve">Eerlijk nee (een tekortkoming), met uitleg wat je in plaats daarvan doet. Een nee dat het goede antwoord is en bewijs heeft, is onderbouwd.</t>
  </si>
  <si>
    <t xml:space="preserve">n.v.t.</t>
  </si>
  <si>
    <t xml:space="preserve">De vraag is niet op jou van toepassing. Leg uit waarom.</t>
  </si>
  <si>
    <t xml:space="preserve">Goed om te weten</t>
  </si>
  <si>
    <t xml:space="preserve">•</t>
  </si>
  <si>
    <t xml:space="preserve">Statussen zeggen hoe goed een antwoord met bewijs onderbouwd is. Ze zijn geen certificering.</t>
  </si>
  <si>
    <t xml:space="preserve">Met een opgeslagen hash kun je later controleren of een bestand precies gelijk is aan de geregistreerde versie. Een hash laat niet zien dat een maatregel werkt.</t>
  </si>
  <si>
    <t xml:space="preserve">Zet nooit vertrouwelijke documenten in dit werkboek. Verwijs naar de plek waar ze staan.</t>
  </si>
  <si>
    <t xml:space="preserve">Jij blijft verantwoordelijk voor elk antwoord dat je naar een klant stuurt.</t>
  </si>
  <si>
    <t xml:space="preserve">Controleer het werkboek met de gratis tool: python tools/validate.py jouw-bestand.xlsx (zie GitHub).</t>
  </si>
  <si>
    <t xml:space="preserve">Over</t>
  </si>
  <si>
    <t xml:space="preserve">Gemaakt door Holdvero (holdvero.com). Bewijs wat je claimt.</t>
  </si>
  <si>
    <t xml:space="preserve">Licentie: CC BY 4.0. Je mag dit werkboek gebruiken en aanpassen. Ingevulde exemplaren mag je zonder naamsvermelding met klanten delen.</t>
  </si>
  <si>
    <t xml:space="preserve">Bron en updates: github.com/holdvero/open-evidence-pack</t>
  </si>
  <si>
    <t xml:space="preserve">Vraag-ID</t>
  </si>
  <si>
    <t xml:space="preserve">Categorie</t>
  </si>
  <si>
    <t xml:space="preserve">Vraag</t>
  </si>
  <si>
    <t xml:space="preserve">Kort antwoord</t>
  </si>
  <si>
    <t xml:space="preserve">Goedgekeurd antwoord</t>
  </si>
  <si>
    <t xml:space="preserve">Status antwoord</t>
  </si>
  <si>
    <t xml:space="preserve">Eigenaar antwoord</t>
  </si>
  <si>
    <t xml:space="preserve">Laatst herzien</t>
  </si>
  <si>
    <t xml:space="preserve">Volgende herziening</t>
  </si>
  <si>
    <t xml:space="preserve">Bewijs</t>
  </si>
  <si>
    <t xml:space="preserve">Open punten</t>
  </si>
  <si>
    <t xml:space="preserve">Kaderverwijzingen</t>
  </si>
  <si>
    <t xml:space="preserve">Notities</t>
  </si>
  <si>
    <t xml:space="preserve">Q-01</t>
  </si>
  <si>
    <t xml:space="preserve">Organisatie en beleid</t>
  </si>
  <si>
    <t xml:space="preserve">Heeft u een vastgesteld informatiebeveiligingsbeleid?</t>
  </si>
  <si>
    <t xml:space="preserve">ja</t>
  </si>
  <si>
    <t xml:space="preserve">Ja. Vastgesteld door de directie op 3 maart 2026 en jaarlijks herzien.</t>
  </si>
  <si>
    <t xml:space="preserve">CTO</t>
  </si>
  <si>
    <t xml:space="preserve">BEL-01 §1, §7</t>
  </si>
  <si>
    <t xml:space="preserve">ISO/IEC 27001:2022 A.5.1</t>
  </si>
  <si>
    <t xml:space="preserve">Q-02</t>
  </si>
  <si>
    <t xml:space="preserve">Bent u gecertificeerd voor ISO 27001, of heeft u een SOC 2-rapport?</t>
  </si>
  <si>
    <t xml:space="preserve">nee</t>
  </si>
  <si>
    <t xml:space="preserve">Nee. We hebben geen certificaat of auditrapport. Onze maatregelen volgen ISO/IEC 27002:2022; zie de verklaring van toepasselijkheid.</t>
  </si>
  <si>
    <t xml:space="preserve">CEO</t>
  </si>
  <si>
    <t xml:space="preserve">BEL-02</t>
  </si>
  <si>
    <t xml:space="preserve">Q-03</t>
  </si>
  <si>
    <t xml:space="preserve">Wie is eindverantwoordelijk voor informatiebeveiliging?</t>
  </si>
  <si>
    <t xml:space="preserve">beschreven</t>
  </si>
  <si>
    <t xml:space="preserve">De CTO. Hij rapporteert elk kwartaal aan de directie.</t>
  </si>
  <si>
    <t xml:space="preserve">BEL-01 §3</t>
  </si>
  <si>
    <t xml:space="preserve">ISO/IEC 27001:2022 A.5.2</t>
  </si>
  <si>
    <t xml:space="preserve">Q-04</t>
  </si>
  <si>
    <t xml:space="preserve">Toegang</t>
  </si>
  <si>
    <t xml:space="preserve">Gebruikt u MFA voor alle toegang tot productiesystemen?</t>
  </si>
  <si>
    <t xml:space="preserve">Ja, voor alle medewerkers en beheerders, afgedwongen in de identity provider. Voor eindgebruikers van klanten is MFA per klantomgeving in te schakelen, maar niet standaard verplicht.</t>
  </si>
  <si>
    <t xml:space="preserve">PRO-04 §2; SCR-01</t>
  </si>
  <si>
    <t xml:space="preserve">ISO/IEC 27001:2022 A.8.5</t>
  </si>
  <si>
    <t xml:space="preserve">Q-05</t>
  </si>
  <si>
    <t xml:space="preserve">Hoe vaak worden toegangsrechten herzien?</t>
  </si>
  <si>
    <t xml:space="preserve">Elk kwartaal voor productiesystemen. Laatste review: 1 juli 2026.</t>
  </si>
  <si>
    <t xml:space="preserve">REG-02</t>
  </si>
  <si>
    <t xml:space="preserve">ISO/IEC 27001:2022 A.5.18</t>
  </si>
  <si>
    <t xml:space="preserve">Q-06</t>
  </si>
  <si>
    <t xml:space="preserve">Worden accounts van vertrekkende medewerkers direct ingetrokken?</t>
  </si>
  <si>
    <t xml:space="preserve">Ja, op de laatste werkdag, via de offboarding-checklist.</t>
  </si>
  <si>
    <t xml:space="preserve">Operations</t>
  </si>
  <si>
    <t xml:space="preserve">PRO-05; REG-07</t>
  </si>
  <si>
    <t xml:space="preserve">Q-07</t>
  </si>
  <si>
    <t xml:space="preserve">Gegevens en privacy</t>
  </si>
  <si>
    <t xml:space="preserve">Waar worden onze gegevens opgeslagen?</t>
  </si>
  <si>
    <t xml:space="preserve">In datacenters van onze hostingpartij in Nederland en Duitsland. Back-ups staan in dezelfde regio's.</t>
  </si>
  <si>
    <t xml:space="preserve">LST-01</t>
  </si>
  <si>
    <t xml:space="preserve">Q-08</t>
  </si>
  <si>
    <t xml:space="preserve">Worden gegevens versleuteld, in rust en tijdens transport?</t>
  </si>
  <si>
    <t xml:space="preserve">Ja. Transport via TLS 1.2 of hoger. Database en back-ups zijn in rust versleuteld met sleutels die de hostingpartij beheert.</t>
  </si>
  <si>
    <t xml:space="preserve">ARC-01 §4; SYS-02</t>
  </si>
  <si>
    <t xml:space="preserve">ISO/IEC 27001:2022 A.8.24</t>
  </si>
  <si>
    <t xml:space="preserve">Q-09</t>
  </si>
  <si>
    <t xml:space="preserve">Gebruikt u subverwerkers?</t>
  </si>
  <si>
    <t xml:space="preserve">Ja, vijf. De lijst staat in bijlage 2 van de verwerkersovereenkomst. Wijzigingen melden we 30 dagen vooraf.</t>
  </si>
  <si>
    <t xml:space="preserve">LST-01; CON-01 art. 6</t>
  </si>
  <si>
    <t xml:space="preserve">ISO/IEC 27001:2022 A.5.19</t>
  </si>
  <si>
    <t xml:space="preserve">Q-10</t>
  </si>
  <si>
    <t xml:space="preserve">Ontwikkeling en kwetsbaarheden</t>
  </si>
  <si>
    <t xml:space="preserve">Laat u jaarlijks een penetratietest uitvoeren?</t>
  </si>
  <si>
    <t xml:space="preserve">Ja. Laatste test door een externe partij in mei 2026. Twee middelhoge bevindingen zijn opgelost; één lage staat open met een plan. Samenvatting beschikbaar onder NDA.</t>
  </si>
  <si>
    <t xml:space="preserve">RAP-01; REG-05</t>
  </si>
  <si>
    <t xml:space="preserve">Q-11</t>
  </si>
  <si>
    <t xml:space="preserve">Hoe beheert u kwetsbaarheden in gebruikte software?</t>
  </si>
  <si>
    <t xml:space="preserve">deels</t>
  </si>
  <si>
    <t xml:space="preserve">Deels. Elke build wordt automatisch gescand; kritieke kwetsbaarheden lossen we binnen 7 dagen op, hoge binnen 30 dagen. Of die termijnen gehaald worden, registreren we pas sinds augustus 2026.</t>
  </si>
  <si>
    <t xml:space="preserve">Lead developer</t>
  </si>
  <si>
    <t xml:space="preserve">PRO-07 §3; SYS-01</t>
  </si>
  <si>
    <t xml:space="preserve">OI-03</t>
  </si>
  <si>
    <t xml:space="preserve">ISO/IEC 27001:2022 A.8.8</t>
  </si>
  <si>
    <t xml:space="preserve">Q-12</t>
  </si>
  <si>
    <t xml:space="preserve">Continuïteit en incidenten</t>
  </si>
  <si>
    <t xml:space="preserve">Test u uw herstel- en uitwijkplan?</t>
  </si>
  <si>
    <t xml:space="preserve">Deels. Back-ups zetten we elke maand terug als test. Een volledige uitwijktest is nog niet gedaan; die staat gepland voor het eerste kwartaal van 2027.</t>
  </si>
  <si>
    <t xml:space="preserve">REG-06; BCP-01</t>
  </si>
  <si>
    <t xml:space="preserve">OI-01</t>
  </si>
  <si>
    <t xml:space="preserve">ISO/IEC 27001:2022 A.8.13; ISO/IEC 27001:2022 A.5.30</t>
  </si>
  <si>
    <t xml:space="preserve">Q-13</t>
  </si>
  <si>
    <t xml:space="preserve">Binnen welke termijn meldt u een beveiligingsincident?</t>
  </si>
  <si>
    <t xml:space="preserve">Binnen 24 uur nadat we het hebben vastgesteld, zoals ook in de verwerkersovereenkomst staat.</t>
  </si>
  <si>
    <t xml:space="preserve">PRO-09 §5; CON-01 art. 9</t>
  </si>
  <si>
    <t xml:space="preserve">ISO/IEC 27001:2022 A.5.24</t>
  </si>
  <si>
    <t xml:space="preserve">Q-14</t>
  </si>
  <si>
    <t xml:space="preserve">Mensen, leveranciers en AI</t>
  </si>
  <si>
    <t xml:space="preserve">Volgen medewerkers jaarlijks een security-awarenesstraining?</t>
  </si>
  <si>
    <t xml:space="preserve">Deels. Nieuwe medewerkers volgen hem bij indiensttreding. Een jaarlijkse herhaling voor iedereen is gestart in september 2026; de eerste ronde is in december 2026 rond.</t>
  </si>
  <si>
    <t xml:space="preserve">PRO-03; REG-03</t>
  </si>
  <si>
    <t xml:space="preserve">OI-02</t>
  </si>
  <si>
    <t xml:space="preserve">ISO/IEC 27001:2022 A.6.3</t>
  </si>
  <si>
    <t xml:space="preserve">Q-15</t>
  </si>
  <si>
    <t xml:space="preserve">Gebruikt uw product AI, en worden onze gegevens gebruikt om modellen te trainen?</t>
  </si>
  <si>
    <t xml:space="preserve">Ja, één functie. De samenvattingsfunctie gebruikt een taalmodel van een externe aanbieder (subverwerker 5). Die functie staat standaard uit. Klantgegevens worden niet gebruikt om modellen te trainen; dat is contractueel uitgesloten.</t>
  </si>
  <si>
    <t xml:space="preserve">LST-01; CON-02 §8; DOC-01</t>
  </si>
  <si>
    <t xml:space="preserve">Bewijs-ID</t>
  </si>
  <si>
    <t xml:space="preserve">Titel</t>
  </si>
  <si>
    <t xml:space="preserve">Soort bewijs</t>
  </si>
  <si>
    <t xml:space="preserve">Versie</t>
  </si>
  <si>
    <t xml:space="preserve">Versiedatum</t>
  </si>
  <si>
    <t xml:space="preserve">Eigenaar</t>
  </si>
  <si>
    <t xml:space="preserve">Herzien voor</t>
  </si>
  <si>
    <t xml:space="preserve">Vindplaats</t>
  </si>
  <si>
    <t xml:space="preserve">Deelbaar</t>
  </si>
  <si>
    <t xml:space="preserve">Status</t>
  </si>
  <si>
    <t xml:space="preserve">Opslaglocatie</t>
  </si>
  <si>
    <t xml:space="preserve">Hash-algoritme</t>
  </si>
  <si>
    <t xml:space="preserve">Hash</t>
  </si>
  <si>
    <t xml:space="preserve">BEL-01</t>
  </si>
  <si>
    <t xml:space="preserve">Informatiebeveiligingsbeleid</t>
  </si>
  <si>
    <t xml:space="preserve">beleid</t>
  </si>
  <si>
    <t xml:space="preserve">2.1</t>
  </si>
  <si>
    <t xml:space="preserve">op aanvraag</t>
  </si>
  <si>
    <t xml:space="preserve">actueel</t>
  </si>
  <si>
    <t xml:space="preserve">SharePoint / Policies / BEL-01</t>
  </si>
  <si>
    <t xml:space="preserve">sha256</t>
  </si>
  <si>
    <t xml:space="preserve">457cb59a2df58f6f5122c51b574e33621386aef914673a83c763bc2a7ce2e20c</t>
  </si>
  <si>
    <t xml:space="preserve">Fictieve hash ter illustratie.</t>
  </si>
  <si>
    <t xml:space="preserve">Verklaring van toepasselijkheid</t>
  </si>
  <si>
    <t xml:space="preserve">documentatie</t>
  </si>
  <si>
    <t xml:space="preserve">1.0</t>
  </si>
  <si>
    <t xml:space="preserve">SharePoint / Policies / BEL-02</t>
  </si>
  <si>
    <t xml:space="preserve">PRO-03</t>
  </si>
  <si>
    <t xml:space="preserve">Procedure bewustwording</t>
  </si>
  <si>
    <t xml:space="preserve">procedure</t>
  </si>
  <si>
    <t xml:space="preserve">SharePoint / Procedures / PRO-03</t>
  </si>
  <si>
    <t xml:space="preserve">PRO-04</t>
  </si>
  <si>
    <t xml:space="preserve">Procedure toegangsbeheer</t>
  </si>
  <si>
    <t xml:space="preserve">1.3</t>
  </si>
  <si>
    <t xml:space="preserve">SharePoint / Procedures / PRO-04</t>
  </si>
  <si>
    <t xml:space="preserve">PRO-05</t>
  </si>
  <si>
    <t xml:space="preserve">Procedure en checklist offboarding</t>
  </si>
  <si>
    <t xml:space="preserve">1.1</t>
  </si>
  <si>
    <t xml:space="preserve">SharePoint / Procedures / PRO-05</t>
  </si>
  <si>
    <t xml:space="preserve">PRO-07</t>
  </si>
  <si>
    <t xml:space="preserve">Procedure kwetsbaarheidsbeheer</t>
  </si>
  <si>
    <t xml:space="preserve">SharePoint / Procedures / PRO-07</t>
  </si>
  <si>
    <t xml:space="preserve">PRO-09</t>
  </si>
  <si>
    <t xml:space="preserve">Incidentprocedure</t>
  </si>
  <si>
    <t xml:space="preserve">1.2</t>
  </si>
  <si>
    <t xml:space="preserve">SharePoint / Procedures / PRO-09</t>
  </si>
  <si>
    <t xml:space="preserve">1cd448e13647754c86146ce2409e6195fd79969fd830f108079bf1a4e0994f12</t>
  </si>
  <si>
    <t xml:space="preserve">ARC-01</t>
  </si>
  <si>
    <t xml:space="preserve">Architectuuroverzicht</t>
  </si>
  <si>
    <t xml:space="preserve">3.0</t>
  </si>
  <si>
    <t xml:space="preserve">onder NDA</t>
  </si>
  <si>
    <t xml:space="preserve">SharePoint / Architecture / ARC-01</t>
  </si>
  <si>
    <t xml:space="preserve">BCP-01</t>
  </si>
  <si>
    <t xml:space="preserve">Continuïteitsplan</t>
  </si>
  <si>
    <t xml:space="preserve">SharePoint / Continuity / BCP-01</t>
  </si>
  <si>
    <t xml:space="preserve">Toegangsreview Q3 2026</t>
  </si>
  <si>
    <t xml:space="preserve">registratie</t>
  </si>
  <si>
    <t xml:space="preserve">Q3 2026</t>
  </si>
  <si>
    <t xml:space="preserve">SharePoint / Records / REG-02</t>
  </si>
  <si>
    <t xml:space="preserve">REG-03</t>
  </si>
  <si>
    <t xml:space="preserve">Deelnameregister bewustwording</t>
  </si>
  <si>
    <t xml:space="preserve">2026-09</t>
  </si>
  <si>
    <t xml:space="preserve">alleen intern</t>
  </si>
  <si>
    <t xml:space="preserve">HR system / training records</t>
  </si>
  <si>
    <t xml:space="preserve">REG-05</t>
  </si>
  <si>
    <t xml:space="preserve">Bevindingenregister</t>
  </si>
  <si>
    <t xml:space="preserve">Issue tracker / findings board</t>
  </si>
  <si>
    <t xml:space="preserve">REG-06</t>
  </si>
  <si>
    <t xml:space="preserve">Logboek hersteltests</t>
  </si>
  <si>
    <t xml:space="preserve">SharePoint / Records / REG-06</t>
  </si>
  <si>
    <t xml:space="preserve">REG-07</t>
  </si>
  <si>
    <t xml:space="preserve">Ingevulde offboarding-checklist (laatste vertrek)</t>
  </si>
  <si>
    <t xml:space="preserve">2026-08</t>
  </si>
  <si>
    <t xml:space="preserve">SharePoint / Records / offboarding</t>
  </si>
  <si>
    <t xml:space="preserve">Subverwerkerslijst (bijlage 2 bij de verwerkersovereenkomst)</t>
  </si>
  <si>
    <t xml:space="preserve">4</t>
  </si>
  <si>
    <t xml:space="preserve">openbaar</t>
  </si>
  <si>
    <t xml:space="preserve">https://example.com/sub-processors</t>
  </si>
  <si>
    <t xml:space="preserve">CON-01</t>
  </si>
  <si>
    <t xml:space="preserve">Verwerkersovereenkomst (standaard)</t>
  </si>
  <si>
    <t xml:space="preserve">contract</t>
  </si>
  <si>
    <t xml:space="preserve">2.0</t>
  </si>
  <si>
    <t xml:space="preserve">SharePoint / Contracts / DPA template</t>
  </si>
  <si>
    <t xml:space="preserve">CON-02</t>
  </si>
  <si>
    <t xml:space="preserve">Contract met aanbieder taalmodel</t>
  </si>
  <si>
    <t xml:space="preserve">2026</t>
  </si>
  <si>
    <t xml:space="preserve">SharePoint / Contracts / model provider</t>
  </si>
  <si>
    <t xml:space="preserve">RAP-01</t>
  </si>
  <si>
    <t xml:space="preserve">Samenvatting pentest mei 2026</t>
  </si>
  <si>
    <t xml:space="preserve">testresultaat</t>
  </si>
  <si>
    <t xml:space="preserve">2026-05</t>
  </si>
  <si>
    <t xml:space="preserve">SharePoint / Reports / pentest 2026</t>
  </si>
  <si>
    <t xml:space="preserve">d4fe760732c3aff24b158fd239872b8a0ca0e486a75144c62aa3edc2e5df98f0</t>
  </si>
  <si>
    <t xml:space="preserve">SCR-01</t>
  </si>
  <si>
    <t xml:space="preserve">Schermafdruk: beleid 'MFA verplicht' in identity provider</t>
  </si>
  <si>
    <t xml:space="preserve">schermafdruk</t>
  </si>
  <si>
    <t xml:space="preserve">2026-09-10</t>
  </si>
  <si>
    <t xml:space="preserve">Beheerconsole &gt; Beveiliging &gt; Beleid</t>
  </si>
  <si>
    <t xml:space="preserve">SharePoint / Evidence / 2026-09</t>
  </si>
  <si>
    <t xml:space="preserve">SYS-01</t>
  </si>
  <si>
    <t xml:space="preserve">Export scanresultaten afhankelijkheden september 2026</t>
  </si>
  <si>
    <t xml:space="preserve">systeemexport</t>
  </si>
  <si>
    <t xml:space="preserve">CI pipeline / scan exports</t>
  </si>
  <si>
    <t xml:space="preserve">SYS-02</t>
  </si>
  <si>
    <t xml:space="preserve">TLS-scan augustus 2026</t>
  </si>
  <si>
    <t xml:space="preserve">SharePoint / Evidence / TLS</t>
  </si>
  <si>
    <t xml:space="preserve">DOC-01</t>
  </si>
  <si>
    <t xml:space="preserve">Productdocumentatie 'AI-functies'</t>
  </si>
  <si>
    <t xml:space="preserve">2026-07</t>
  </si>
  <si>
    <t xml:space="preserve">Product</t>
  </si>
  <si>
    <t xml:space="preserve">https://example.com/docs/ai-features</t>
  </si>
  <si>
    <t xml:space="preserve">Open-punt-ID</t>
  </si>
  <si>
    <t xml:space="preserve">Omschrijving</t>
  </si>
  <si>
    <t xml:space="preserve">Betreft vragen</t>
  </si>
  <si>
    <t xml:space="preserve">Streefdatum</t>
  </si>
  <si>
    <t xml:space="preserve">Afhandeling</t>
  </si>
  <si>
    <t xml:space="preserve">Nog geen volledige uitwijktest. Volledige uitwijktest naar de tweede regio uitvoeren en een verslag schrijven.</t>
  </si>
  <si>
    <t xml:space="preserve">open</t>
  </si>
  <si>
    <t xml:space="preserve">Jaarlijkse awarenesstraining nog niet rond. Eerste jaarlijkse ronde afronden en deelname vastleggen.</t>
  </si>
  <si>
    <t xml:space="preserve">bezig</t>
  </si>
  <si>
    <t xml:space="preserve">Naleving van hersteltermijnen wordt nog niet gerapporteerd. Maandelijkse rapportage over gehaalde termijnen starten.</t>
  </si>
  <si>
    <t xml:space="preserve">Tabblad</t>
  </si>
  <si>
    <t xml:space="preserve">Kolom</t>
  </si>
  <si>
    <t xml:space="preserve">Verplicht</t>
  </si>
  <si>
    <t xml:space="preserve">Betekenis</t>
  </si>
  <si>
    <t xml:space="preserve">Toegestane waarden</t>
  </si>
  <si>
    <t xml:space="preserve">Je eigen vaste code voor de vraag, bijv. Q-014. Letters, cijfers, . _ -</t>
  </si>
  <si>
    <t xml:space="preserve">Vrije indeling, bijv. Toegang, Privacy, AI.</t>
  </si>
  <si>
    <t xml:space="preserve">De vraag in algemene vorm. Klanten formuleren het anders; houd de kern.</t>
  </si>
  <si>
    <t xml:space="preserve">Ja, nee, deels, beschreven (voor open vragen zoals Wie...? of Hoe vaak...?) of n.v.t.</t>
  </si>
  <si>
    <t xml:space="preserve">ja, nee, deels, beschreven, n.v.t.</t>
  </si>
  <si>
    <t xml:space="preserve">Het antwoord zoals je het zou versturen. Begin met het korte antwoord, daarna één of twee zinnen.</t>
  </si>
  <si>
    <t xml:space="preserve">Hoe goed het antwoord met bewijs onderbouwd is. Zie het tabblad Start.</t>
  </si>
  <si>
    <t xml:space="preserve">onderbouwd, deels onderbouwd, open punt, nee met uitleg, n.v.t.</t>
  </si>
  <si>
    <t xml:space="preserve">Wie dit antwoord juist houdt. Een rol mag.</t>
  </si>
  <si>
    <t xml:space="preserve">Wanneer iemand voor het laatst controleerde of het antwoord nog klopt.</t>
  </si>
  <si>
    <t xml:space="preserve">jjjj-mm-dd</t>
  </si>
  <si>
    <t xml:space="preserve">Wanneer het opnieuw gecontroleerd moet worden. Wordt rood als de datum voorbij is.</t>
  </si>
  <si>
    <t xml:space="preserve">Bewijs-ID's uit het Bewijsregister, gescheiden door ; met eventueel een vindplaats na het ID. Voorbeeld: BEL-01 §3; SCR-01</t>
  </si>
  <si>
    <t xml:space="preserve">ID's uit het tabblad Open punten, gescheiden door ;. Verplicht bij deels onderbouwd en open punt.</t>
  </si>
  <si>
    <t xml:space="preserve">Alleen nummers, gescheiden door ;. Voorbeeld: ISO/IEC 27001:2022 A.8.5. Nooit tekst uit betaalde normen overnemen.</t>
  </si>
  <si>
    <t xml:space="preserve">Interne notities.</t>
  </si>
  <si>
    <t xml:space="preserve">Bewijsregister</t>
  </si>
  <si>
    <t xml:space="preserve">Je eigen vaste code, bijv. BEL-01 of EVD-003.</t>
  </si>
  <si>
    <t xml:space="preserve">Naam van het document, de registratie, instelling of het resultaat.</t>
  </si>
  <si>
    <t xml:space="preserve">Wat voor bewijs dit is. Kies uit de lijst.</t>
  </si>
  <si>
    <t xml:space="preserve">beleid, procedure, registratie, documentatie, configuratie, systeemexport, schermafdruk, testresultaat, auditrapport, certificaat, contract, overig</t>
  </si>
  <si>
    <t xml:space="preserve">Versieaanduiding, bijv. 2.1, Q3 2026 of een datum.</t>
  </si>
  <si>
    <t xml:space="preserve">Datum waarop deze versie is vastgesteld, uitgegeven, geëxporteerd of vastgelegd.</t>
  </si>
  <si>
    <t xml:space="preserve">Wie dit bewijs actueel houdt.</t>
  </si>
  <si>
    <t xml:space="preserve">Wanneer het herzien of vernieuwd moet worden. De meeste documenten verlopen niet; ze moeten herzien worden. Wordt rood als de datum voorbij is.</t>
  </si>
  <si>
    <t xml:space="preserve">Standaardvindplaats in het bewijs (paragraaf, pagina, instelling). Antwoorden kunnen een preciezere geven.</t>
  </si>
  <si>
    <t xml:space="preserve">Of je het met klanten mag delen, en hoe.</t>
  </si>
  <si>
    <t xml:space="preserve">openbaar, op aanvraag, onder NDA, alleen intern</t>
  </si>
  <si>
    <t xml:space="preserve">Actueel, concept, vervangen of ingetrokken. Antwoorden horen op actueel bewijs te steunen.</t>
  </si>
  <si>
    <t xml:space="preserve">actueel, concept, vervangen, ingetrokken</t>
  </si>
  <si>
    <t xml:space="preserve">Waar het bewijs staat, als interne verwijzing. Zet nooit vertrouwelijke documenten in dit bestand.</t>
  </si>
  <si>
    <t xml:space="preserve">sha256, sha384 of sha512. Verplicht als je een hash invult.</t>
  </si>
  <si>
    <t xml:space="preserve">sha256, sha384, sha512</t>
  </si>
  <si>
    <t xml:space="preserve">Vingerafdruk van het bestand. Met een opgeslagen hash kun je later controleren of een bestand precies gelijk is aan de geregistreerde versie. Een hash laat niet zien dat een maatregel werkt.</t>
  </si>
  <si>
    <t xml:space="preserve">Je eigen vaste code, bijv. OI-01.</t>
  </si>
  <si>
    <t xml:space="preserve">Wat ontbreekt en wat je gaat doen.</t>
  </si>
  <si>
    <t xml:space="preserve">Vraag-ID's uit het tabblad Antwoorden, gescheiden door ;.</t>
  </si>
  <si>
    <t xml:space="preserve">Wie het doet.</t>
  </si>
  <si>
    <t xml:space="preserve">Wanneer het af moet zijn. Wordt rood als de datum voorbij is en het punt niet is afgerond.</t>
  </si>
  <si>
    <t xml:space="preserve">Open, bezig of afgerond.</t>
  </si>
  <si>
    <t xml:space="preserve">open, bezig, afgerond</t>
  </si>
  <si>
    <t xml:space="preserve">Hoe het is opgelost. Verplicht bij afgerond.</t>
  </si>
</sst>
</file>

<file path=xl/styles.xml><?xml version="1.0" encoding="utf-8"?>
<styleSheet xmlns="http://schemas.openxmlformats.org/spreadsheetml/2006/main">
  <numFmts count="4">
    <numFmt numFmtId="164" formatCode="General"/>
    <numFmt numFmtId="165" formatCode="yyyy\-mm\-dd"/>
    <numFmt numFmtId="166" formatCode="0"/>
    <numFmt numFmtId="167" formatCode="@"/>
  </numFmts>
  <fonts count="16">
    <font>
      <sz val="11"/>
      <color theme="1"/>
      <name val="Calibri"/>
      <family val="2"/>
      <charset val="1"/>
    </font>
    <font>
      <sz val="10"/>
      <name val="Arial"/>
      <family val="0"/>
    </font>
    <font>
      <sz val="10"/>
      <name val="Arial"/>
      <family val="0"/>
    </font>
    <font>
      <sz val="10"/>
      <name val="Arial"/>
      <family val="0"/>
    </font>
    <font>
      <b val="true"/>
      <sz val="20"/>
      <color rgb="FF10263A"/>
      <name val="Arial"/>
      <family val="0"/>
      <charset val="1"/>
    </font>
    <font>
      <sz val="11"/>
      <color rgb="FF4A5E70"/>
      <name val="Arial"/>
      <family val="0"/>
      <charset val="1"/>
    </font>
    <font>
      <b val="true"/>
      <sz val="12"/>
      <color rgb="FF10263A"/>
      <name val="Arial"/>
      <family val="0"/>
      <charset val="1"/>
    </font>
    <font>
      <b val="true"/>
      <sz val="10"/>
      <color rgb="FF10263A"/>
      <name val="Arial"/>
      <family val="0"/>
      <charset val="1"/>
    </font>
    <font>
      <sz val="10"/>
      <color rgb="FF10263A"/>
      <name val="Arial"/>
      <family val="0"/>
      <charset val="1"/>
    </font>
    <font>
      <i val="true"/>
      <sz val="9"/>
      <color rgb="FF4A5E70"/>
      <name val="Arial"/>
      <family val="0"/>
      <charset val="1"/>
    </font>
    <font>
      <b val="true"/>
      <sz val="10"/>
      <color rgb="FF0D6B47"/>
      <name val="Arial"/>
      <family val="0"/>
      <charset val="1"/>
    </font>
    <font>
      <b val="true"/>
      <sz val="10"/>
      <color rgb="FF8A5A00"/>
      <name val="Arial"/>
      <family val="0"/>
      <charset val="1"/>
    </font>
    <font>
      <b val="true"/>
      <sz val="10"/>
      <color rgb="FFA3241B"/>
      <name val="Arial"/>
      <family val="0"/>
      <charset val="1"/>
    </font>
    <font>
      <b val="true"/>
      <sz val="10"/>
      <color rgb="FF2E4255"/>
      <name val="Arial"/>
      <family val="0"/>
      <charset val="1"/>
    </font>
    <font>
      <b val="true"/>
      <sz val="10"/>
      <color rgb="FF595959"/>
      <name val="Arial"/>
      <family val="0"/>
      <charset val="1"/>
    </font>
    <font>
      <b val="true"/>
      <sz val="10"/>
      <color rgb="FFFFFFFF"/>
      <name val="Arial"/>
      <family val="0"/>
      <charset val="1"/>
    </font>
  </fonts>
  <fills count="9">
    <fill>
      <patternFill patternType="none"/>
    </fill>
    <fill>
      <patternFill patternType="gray125"/>
    </fill>
    <fill>
      <patternFill patternType="solid">
        <fgColor rgb="FFFFF4D6"/>
        <bgColor rgb="FFFDF0D5"/>
      </patternFill>
    </fill>
    <fill>
      <patternFill patternType="solid">
        <fgColor rgb="FFDDF0E6"/>
        <bgColor rgb="FFE3EAF1"/>
      </patternFill>
    </fill>
    <fill>
      <patternFill patternType="solid">
        <fgColor rgb="FFFDF0D5"/>
        <bgColor rgb="FFFFF4D6"/>
      </patternFill>
    </fill>
    <fill>
      <patternFill patternType="solid">
        <fgColor rgb="FFFBE3DF"/>
        <bgColor rgb="FFFDF0D5"/>
      </patternFill>
    </fill>
    <fill>
      <patternFill patternType="solid">
        <fgColor rgb="FFE3EAF1"/>
        <bgColor rgb="FFDDF0E6"/>
      </patternFill>
    </fill>
    <fill>
      <patternFill patternType="solid">
        <fgColor rgb="FFEEEEEE"/>
        <bgColor rgb="FFE3EAF1"/>
      </patternFill>
    </fill>
    <fill>
      <patternFill patternType="solid">
        <fgColor rgb="FF10263A"/>
        <bgColor rgb="FF003300"/>
      </patternFill>
    </fill>
  </fills>
  <borders count="4">
    <border diagonalUp="false" diagonalDown="false">
      <left/>
      <right/>
      <top/>
      <bottom/>
      <diagonal/>
    </border>
    <border diagonalUp="false" diagonalDown="false">
      <left/>
      <right/>
      <top/>
      <bottom style="medium">
        <color rgb="FFF2A541"/>
      </bottom>
      <diagonal/>
    </border>
    <border diagonalUp="false" diagonalDown="false">
      <left style="thin">
        <color rgb="FFCBD6DF"/>
      </left>
      <right style="thin">
        <color rgb="FFCBD6DF"/>
      </right>
      <top style="thin">
        <color rgb="FFCBD6DF"/>
      </top>
      <bottom style="thin">
        <color rgb="FFCBD6DF"/>
      </bottom>
      <diagonal/>
    </border>
    <border diagonalUp="false" diagonalDown="false">
      <left/>
      <right/>
      <top/>
      <bottom style="thin">
        <color rgb="FFCBD6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65" fontId="8" fillId="2" borderId="2"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5" fillId="8" borderId="0" xfId="0" applyFont="true" applyBorder="fals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5" fontId="8" fillId="0" borderId="3"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8" fillId="0" borderId="3" xfId="0" applyFont="true" applyBorder="tru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0263A"/>
          <bgColor rgb="FF000000"/>
        </patternFill>
      </fill>
    </dxf>
    <dxf>
      <fill>
        <patternFill patternType="solid">
          <bgColor rgb="FF000000"/>
        </patternFill>
      </fill>
    </dxf>
    <dxf>
      <fill>
        <patternFill patternType="solid">
          <fgColor rgb="FFFFFFFF"/>
          <bgColor rgb="FF000000"/>
        </patternFill>
      </fill>
    </dxf>
    <dxf>
      <fill>
        <patternFill patternType="solid">
          <fgColor rgb="FFDDF0E6"/>
          <bgColor rgb="FF000000"/>
        </patternFill>
      </fill>
    </dxf>
    <dxf>
      <fill>
        <patternFill patternType="solid">
          <fgColor rgb="FFE3EAF1"/>
          <bgColor rgb="FF000000"/>
        </patternFill>
      </fill>
    </dxf>
    <dxf>
      <fill>
        <patternFill patternType="solid">
          <fgColor rgb="FFFBE3DF"/>
          <bgColor rgb="FF000000"/>
        </patternFill>
      </fill>
    </dxf>
    <dxf>
      <fill>
        <patternFill patternType="solid">
          <fgColor rgb="FFFDF0D5"/>
          <bgColor rgb="FF000000"/>
        </patternFill>
      </fill>
    </dxf>
    <dxf>
      <fill>
        <patternFill patternType="solid">
          <fgColor rgb="FF0D6B47"/>
          <bgColor rgb="FF000000"/>
        </patternFill>
      </fill>
    </dxf>
    <dxf>
      <fill>
        <patternFill patternType="solid">
          <fgColor rgb="FF2E4255"/>
          <bgColor rgb="FF000000"/>
        </patternFill>
      </fill>
    </dxf>
    <dxf>
      <fill>
        <patternFill patternType="solid">
          <fgColor rgb="FF8A5A00"/>
          <bgColor rgb="FF000000"/>
        </patternFill>
      </fill>
    </dxf>
    <dxf>
      <fill>
        <patternFill patternType="solid">
          <fgColor rgb="FFA3241B"/>
          <bgColor rgb="FF000000"/>
        </patternFill>
      </fill>
    </dxf>
    <dxf>
      <font>
        <name val="Arial"/>
        <charset val="1"/>
        <family val="0"/>
        <b val="1"/>
        <color rgb="FF0D6B47"/>
      </font>
      <fill>
        <patternFill>
          <bgColor rgb="FFDDF0E6"/>
        </patternFill>
      </fill>
    </dxf>
    <dxf>
      <font>
        <name val="Arial"/>
        <charset val="1"/>
        <family val="0"/>
        <b val="1"/>
        <color rgb="FF8A5A00"/>
      </font>
      <fill>
        <patternFill>
          <bgColor rgb="FFFDF0D5"/>
        </patternFill>
      </fill>
    </dxf>
    <dxf>
      <font>
        <name val="Arial"/>
        <charset val="1"/>
        <family val="0"/>
        <b val="1"/>
        <color rgb="FFA3241B"/>
      </font>
      <fill>
        <patternFill>
          <bgColor rgb="FFFBE3DF"/>
        </patternFill>
      </fill>
    </dxf>
    <dxf>
      <font>
        <name val="Arial"/>
        <charset val="1"/>
        <family val="0"/>
        <b val="1"/>
        <color rgb="FF2E4255"/>
      </font>
      <fill>
        <patternFill>
          <bgColor rgb="FFE3EAF1"/>
        </patternFill>
      </fill>
    </dxf>
    <dxf>
      <font>
        <name val="Arial"/>
        <charset val="1"/>
        <family val="0"/>
        <b val="1"/>
        <color rgb="FF595959"/>
      </font>
      <fill>
        <patternFill>
          <bgColor rgb="FFEEEEEE"/>
        </patternFill>
      </fill>
    </dxf>
    <dxf>
      <fill>
        <patternFill>
          <bgColor rgb="FFFBE3D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D6B47"/>
      <rgbColor rgb="FFC0C0C0"/>
      <rgbColor rgb="FF595959"/>
      <rgbColor rgb="FF9999FF"/>
      <rgbColor rgb="FF993366"/>
      <rgbColor rgb="FFFFF4D6"/>
      <rgbColor rgb="FFDDF0E6"/>
      <rgbColor rgb="FF660066"/>
      <rgbColor rgb="FFFF8080"/>
      <rgbColor rgb="FF0066CC"/>
      <rgbColor rgb="FFCBD6DF"/>
      <rgbColor rgb="FF000080"/>
      <rgbColor rgb="FFFF00FF"/>
      <rgbColor rgb="FFFFFF00"/>
      <rgbColor rgb="FF00FFFF"/>
      <rgbColor rgb="FF800080"/>
      <rgbColor rgb="FF800000"/>
      <rgbColor rgb="FF008080"/>
      <rgbColor rgb="FF0000FF"/>
      <rgbColor rgb="FF00CCFF"/>
      <rgbColor rgb="FFE3EAF1"/>
      <rgbColor rgb="FFEEEEEE"/>
      <rgbColor rgb="FFFDF0D5"/>
      <rgbColor rgb="FF99CCFF"/>
      <rgbColor rgb="FFFF99CC"/>
      <rgbColor rgb="FFCC99FF"/>
      <rgbColor rgb="FFFBE3DF"/>
      <rgbColor rgb="FF3366FF"/>
      <rgbColor rgb="FF33CCCC"/>
      <rgbColor rgb="FF99CC00"/>
      <rgbColor rgb="FFFFCC00"/>
      <rgbColor rgb="FFF2A541"/>
      <rgbColor rgb="FFFF6600"/>
      <rgbColor rgb="FF4A5E70"/>
      <rgbColor rgb="FF969696"/>
      <rgbColor rgb="FF10263A"/>
      <rgbColor rgb="FF339966"/>
      <rgbColor rgb="FF003300"/>
      <rgbColor rgb="FF333300"/>
      <rgbColor rgb="FFA3241B"/>
      <rgbColor rgb="FF993366"/>
      <rgbColor rgb="FF333399"/>
      <rgbColor rgb="FF2E42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s>
  <sheetData>
    <row r="2" customFormat="false" ht="24.4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5" t="s">
        <v>3</v>
      </c>
      <c r="C6" s="6" t="s">
        <v>4</v>
      </c>
    </row>
    <row r="7" customFormat="false" ht="15" hidden="false" customHeight="false" outlineLevel="0" collapsed="false">
      <c r="B7" s="5" t="s">
        <v>5</v>
      </c>
      <c r="C7" s="6" t="s">
        <v>6</v>
      </c>
    </row>
    <row r="8" customFormat="false" ht="15" hidden="false" customHeight="false" outlineLevel="0" collapsed="false">
      <c r="B8" s="5" t="s">
        <v>7</v>
      </c>
      <c r="C8" s="7" t="n">
        <v>46295</v>
      </c>
    </row>
    <row r="9" customFormat="false" ht="15" hidden="false" customHeight="false" outlineLevel="0" collapsed="false">
      <c r="C9" s="8" t="s">
        <v>8</v>
      </c>
    </row>
    <row r="11" customFormat="false" ht="15" hidden="false" customHeight="false" outlineLevel="0" collapsed="false">
      <c r="B11" s="3" t="s">
        <v>9</v>
      </c>
      <c r="C11" s="4"/>
    </row>
    <row r="12" customFormat="false" ht="15" hidden="false" customHeight="false" outlineLevel="0" collapsed="false">
      <c r="B12" s="9" t="s">
        <v>10</v>
      </c>
      <c r="C12" s="10" t="s">
        <v>11</v>
      </c>
    </row>
    <row r="13" customFormat="false" ht="23.85" hidden="false" customHeight="false" outlineLevel="0" collapsed="false">
      <c r="B13" s="9" t="s">
        <v>12</v>
      </c>
      <c r="C13" s="10" t="s">
        <v>13</v>
      </c>
    </row>
    <row r="14" customFormat="false" ht="23.85" hidden="false" customHeight="false" outlineLevel="0" collapsed="false">
      <c r="B14" s="9" t="s">
        <v>14</v>
      </c>
      <c r="C14" s="10" t="s">
        <v>15</v>
      </c>
    </row>
    <row r="15" customFormat="false" ht="23.85" hidden="false" customHeight="false" outlineLevel="0" collapsed="false">
      <c r="B15" s="9" t="s">
        <v>16</v>
      </c>
      <c r="C15" s="10" t="s">
        <v>17</v>
      </c>
    </row>
    <row r="16" customFormat="false" ht="23.85" hidden="false" customHeight="false" outlineLevel="0" collapsed="false">
      <c r="B16" s="9" t="s">
        <v>18</v>
      </c>
      <c r="C16" s="10" t="s">
        <v>19</v>
      </c>
    </row>
    <row r="17" customFormat="false" ht="23.85" hidden="false" customHeight="false" outlineLevel="0" collapsed="false">
      <c r="B17" s="9" t="s">
        <v>20</v>
      </c>
      <c r="C17" s="10" t="s">
        <v>21</v>
      </c>
    </row>
    <row r="19" customFormat="false" ht="15" hidden="false" customHeight="false" outlineLevel="0" collapsed="false">
      <c r="B19" s="3" t="s">
        <v>22</v>
      </c>
      <c r="C19" s="4"/>
    </row>
    <row r="20" customFormat="false" ht="15" hidden="false" customHeight="false" outlineLevel="0" collapsed="false">
      <c r="B20" s="5" t="s">
        <v>23</v>
      </c>
      <c r="C20" s="11" t="n">
        <f aca="false">COUNTA(Antwoorden!$A$2:$A$1000)</f>
        <v>15</v>
      </c>
    </row>
    <row r="21" customFormat="false" ht="15" hidden="false" customHeight="false" outlineLevel="0" collapsed="false">
      <c r="B21" s="12" t="s">
        <v>24</v>
      </c>
      <c r="C21" s="11" t="n">
        <f aca="false">COUNTIF(Antwoorden!$F$2:$F$1000,"onderbouwd")</f>
        <v>11</v>
      </c>
    </row>
    <row r="22" customFormat="false" ht="15" hidden="false" customHeight="false" outlineLevel="0" collapsed="false">
      <c r="B22" s="12" t="s">
        <v>25</v>
      </c>
      <c r="C22" s="11" t="n">
        <f aca="false">COUNTIF(Antwoorden!$F$2:$F$1000,"deels onderbouwd")</f>
        <v>1</v>
      </c>
    </row>
    <row r="23" customFormat="false" ht="15" hidden="false" customHeight="false" outlineLevel="0" collapsed="false">
      <c r="B23" s="12" t="s">
        <v>26</v>
      </c>
      <c r="C23" s="11" t="n">
        <f aca="false">COUNTIF(Antwoorden!$F$2:$F$1000,"open punt")</f>
        <v>2</v>
      </c>
    </row>
    <row r="24" customFormat="false" ht="15" hidden="false" customHeight="false" outlineLevel="0" collapsed="false">
      <c r="B24" s="12" t="s">
        <v>27</v>
      </c>
      <c r="C24" s="11" t="n">
        <f aca="false">COUNTIF(Antwoorden!$F$2:$F$1000,"nee met uitleg")</f>
        <v>1</v>
      </c>
    </row>
    <row r="25" customFormat="false" ht="15" hidden="false" customHeight="false" outlineLevel="0" collapsed="false">
      <c r="B25" s="12" t="s">
        <v>28</v>
      </c>
      <c r="C25" s="11" t="n">
        <f aca="false">COUNTIF(Antwoorden!$F$2:$F$1000,"n.v.t.")</f>
        <v>0</v>
      </c>
    </row>
    <row r="26" customFormat="false" ht="15" hidden="false" customHeight="false" outlineLevel="0" collapsed="false">
      <c r="B26" s="5" t="s">
        <v>29</v>
      </c>
      <c r="C26" s="11" t="n">
        <f aca="true">COUNTIFS(Antwoorden!$A$2:$A$1000,"&lt;&gt;",Antwoorden!$I$2:$I$1000,"&lt;&gt;",Antwoorden!$I$2:$I$1000,"&lt;"&amp;TODAY())</f>
        <v>0</v>
      </c>
    </row>
    <row r="27" customFormat="false" ht="15" hidden="false" customHeight="false" outlineLevel="0" collapsed="false">
      <c r="B27" s="5" t="s">
        <v>30</v>
      </c>
      <c r="C27" s="11" t="n">
        <f aca="false">COUNTA(Bewijsregister!$A$2:$A$1000)</f>
        <v>22</v>
      </c>
    </row>
    <row r="28" customFormat="false" ht="15" hidden="false" customHeight="false" outlineLevel="0" collapsed="false">
      <c r="B28" s="5" t="s">
        <v>31</v>
      </c>
      <c r="C28" s="11" t="n">
        <f aca="true">COUNTIFS(Bewijsregister!$A$2:$A$1000,"&lt;&gt;",Bewijsregister!$G$2:$G$1000,"&lt;&gt;",Bewijsregister!$G$2:$G$1000,"&lt;"&amp;TODAY(),Bewijsregister!$J$2:$J$1000,"actueel")</f>
        <v>0</v>
      </c>
    </row>
    <row r="29" customFormat="false" ht="15" hidden="false" customHeight="false" outlineLevel="0" collapsed="false">
      <c r="B29" s="5" t="s">
        <v>32</v>
      </c>
      <c r="C29" s="11" t="n">
        <f aca="false">COUNTIFS('Open punten'!$A$2:$A$1000,"&lt;&gt;",'Open punten'!$F$2:$F$1000,"&lt;&gt;afgerond")</f>
        <v>3</v>
      </c>
    </row>
    <row r="31" customFormat="false" ht="15" hidden="false" customHeight="false" outlineLevel="0" collapsed="false">
      <c r="B31" s="3" t="s">
        <v>33</v>
      </c>
      <c r="C31" s="4"/>
    </row>
    <row r="32" customFormat="false" ht="23.85" hidden="false" customHeight="false" outlineLevel="0" collapsed="false">
      <c r="B32" s="13" t="s">
        <v>34</v>
      </c>
      <c r="C32" s="14" t="s">
        <v>35</v>
      </c>
    </row>
    <row r="33" customFormat="false" ht="15" hidden="false" customHeight="false" outlineLevel="0" collapsed="false">
      <c r="B33" s="15" t="s">
        <v>36</v>
      </c>
      <c r="C33" s="14" t="s">
        <v>37</v>
      </c>
    </row>
    <row r="34" customFormat="false" ht="23.85" hidden="false" customHeight="false" outlineLevel="0" collapsed="false">
      <c r="B34" s="16" t="s">
        <v>38</v>
      </c>
      <c r="C34" s="14" t="s">
        <v>39</v>
      </c>
    </row>
    <row r="35" customFormat="false" ht="23.85" hidden="false" customHeight="false" outlineLevel="0" collapsed="false">
      <c r="B35" s="17" t="s">
        <v>40</v>
      </c>
      <c r="C35" s="14" t="s">
        <v>41</v>
      </c>
    </row>
    <row r="36" customFormat="false" ht="15" hidden="false" customHeight="false" outlineLevel="0" collapsed="false">
      <c r="B36" s="18" t="s">
        <v>42</v>
      </c>
      <c r="C36" s="14" t="s">
        <v>43</v>
      </c>
    </row>
    <row r="38" customFormat="false" ht="15" hidden="false" customHeight="false" outlineLevel="0" collapsed="false">
      <c r="B38" s="3" t="s">
        <v>44</v>
      </c>
      <c r="C38" s="4"/>
    </row>
    <row r="39" customFormat="false" ht="23.85" hidden="false" customHeight="false" outlineLevel="0" collapsed="false">
      <c r="B39" s="19" t="s">
        <v>45</v>
      </c>
      <c r="C39" s="10" t="s">
        <v>46</v>
      </c>
    </row>
    <row r="40" customFormat="false" ht="23.85" hidden="false" customHeight="false" outlineLevel="0" collapsed="false">
      <c r="B40" s="19" t="s">
        <v>45</v>
      </c>
      <c r="C40" s="10" t="s">
        <v>47</v>
      </c>
    </row>
    <row r="41" customFormat="false" ht="23.85" hidden="false" customHeight="false" outlineLevel="0" collapsed="false">
      <c r="B41" s="19" t="s">
        <v>45</v>
      </c>
      <c r="C41" s="10" t="s">
        <v>48</v>
      </c>
    </row>
    <row r="42" customFormat="false" ht="15" hidden="false" customHeight="false" outlineLevel="0" collapsed="false">
      <c r="B42" s="19" t="s">
        <v>45</v>
      </c>
      <c r="C42" s="10" t="s">
        <v>49</v>
      </c>
    </row>
    <row r="43" customFormat="false" ht="23.85" hidden="false" customHeight="false" outlineLevel="0" collapsed="false">
      <c r="B43" s="19" t="s">
        <v>45</v>
      </c>
      <c r="C43" s="10" t="s">
        <v>50</v>
      </c>
    </row>
    <row r="45" customFormat="false" ht="15" hidden="false" customHeight="false" outlineLevel="0" collapsed="false">
      <c r="B45" s="3" t="s">
        <v>51</v>
      </c>
      <c r="C45" s="4"/>
    </row>
    <row r="46" customFormat="false" ht="15" hidden="false" customHeight="false" outlineLevel="0" collapsed="false">
      <c r="B46" s="19" t="s">
        <v>45</v>
      </c>
      <c r="C46" s="10" t="s">
        <v>52</v>
      </c>
    </row>
    <row r="47" customFormat="false" ht="23.85" hidden="false" customHeight="false" outlineLevel="0" collapsed="false">
      <c r="B47" s="19" t="s">
        <v>45</v>
      </c>
      <c r="C47" s="10" t="s">
        <v>53</v>
      </c>
    </row>
    <row r="48" customFormat="false" ht="15" hidden="false" customHeight="false" outlineLevel="0" collapsed="false">
      <c r="B48" s="19" t="s">
        <v>45</v>
      </c>
      <c r="C48" s="10" t="s">
        <v>54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2"/>
    <col collapsed="false" customWidth="true" hidden="false" outlineLevel="0" max="4" min="4" style="0" width="13"/>
    <col collapsed="false" customWidth="true" hidden="false" outlineLevel="0" max="5" min="5" style="0" width="60"/>
    <col collapsed="false" customWidth="true" hidden="false" outlineLevel="0" max="6" min="6" style="0" width="17"/>
    <col collapsed="false" customWidth="true" hidden="false" outlineLevel="0" max="7" min="7" style="0" width="15"/>
    <col collapsed="false" customWidth="true" hidden="false" outlineLevel="0" max="9" min="8" style="0" width="13"/>
    <col collapsed="false" customWidth="true" hidden="false" outlineLevel="0" max="10" min="10" style="0" width="30"/>
    <col collapsed="false" customWidth="true" hidden="false" outlineLevel="0" max="11" min="11" style="0" width="13"/>
    <col collapsed="false" customWidth="true" hidden="false" outlineLevel="0" max="12" min="12" style="0" width="24"/>
    <col collapsed="false" customWidth="true" hidden="false" outlineLevel="0" max="13" min="13" style="0" width="30"/>
  </cols>
  <sheetData>
    <row r="1" customFormat="false" ht="30"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row>
    <row r="2" customFormat="false" ht="23.85" hidden="false" customHeight="false" outlineLevel="0" collapsed="false">
      <c r="A2" s="21" t="s">
        <v>68</v>
      </c>
      <c r="B2" s="21" t="s">
        <v>69</v>
      </c>
      <c r="C2" s="21" t="s">
        <v>70</v>
      </c>
      <c r="D2" s="21" t="s">
        <v>71</v>
      </c>
      <c r="E2" s="21" t="s">
        <v>72</v>
      </c>
      <c r="F2" s="21" t="s">
        <v>34</v>
      </c>
      <c r="G2" s="21" t="s">
        <v>73</v>
      </c>
      <c r="H2" s="22" t="n">
        <v>46285</v>
      </c>
      <c r="I2" s="22" t="n">
        <v>46449</v>
      </c>
      <c r="J2" s="21" t="s">
        <v>74</v>
      </c>
      <c r="K2" s="21"/>
      <c r="L2" s="21" t="s">
        <v>75</v>
      </c>
      <c r="M2" s="21"/>
    </row>
    <row r="3" customFormat="false" ht="23.85" hidden="false" customHeight="false" outlineLevel="0" collapsed="false">
      <c r="A3" s="21" t="s">
        <v>76</v>
      </c>
      <c r="B3" s="21" t="s">
        <v>69</v>
      </c>
      <c r="C3" s="21" t="s">
        <v>77</v>
      </c>
      <c r="D3" s="21" t="s">
        <v>78</v>
      </c>
      <c r="E3" s="21" t="s">
        <v>79</v>
      </c>
      <c r="F3" s="21" t="s">
        <v>40</v>
      </c>
      <c r="G3" s="21" t="s">
        <v>80</v>
      </c>
      <c r="H3" s="22" t="n">
        <v>46285</v>
      </c>
      <c r="I3" s="22" t="n">
        <v>46449</v>
      </c>
      <c r="J3" s="21" t="s">
        <v>81</v>
      </c>
      <c r="K3" s="21"/>
      <c r="L3" s="21"/>
      <c r="M3" s="21"/>
    </row>
    <row r="4" customFormat="false" ht="23.85" hidden="false" customHeight="false" outlineLevel="0" collapsed="false">
      <c r="A4" s="21" t="s">
        <v>82</v>
      </c>
      <c r="B4" s="21" t="s">
        <v>69</v>
      </c>
      <c r="C4" s="21" t="s">
        <v>83</v>
      </c>
      <c r="D4" s="21" t="s">
        <v>84</v>
      </c>
      <c r="E4" s="21" t="s">
        <v>85</v>
      </c>
      <c r="F4" s="21" t="s">
        <v>34</v>
      </c>
      <c r="G4" s="21" t="s">
        <v>73</v>
      </c>
      <c r="H4" s="22" t="n">
        <v>46285</v>
      </c>
      <c r="I4" s="22" t="n">
        <v>46449</v>
      </c>
      <c r="J4" s="21" t="s">
        <v>86</v>
      </c>
      <c r="K4" s="21"/>
      <c r="L4" s="21" t="s">
        <v>87</v>
      </c>
      <c r="M4" s="21"/>
    </row>
    <row r="5" customFormat="false" ht="35.05" hidden="false" customHeight="false" outlineLevel="0" collapsed="false">
      <c r="A5" s="21" t="s">
        <v>88</v>
      </c>
      <c r="B5" s="21" t="s">
        <v>89</v>
      </c>
      <c r="C5" s="21" t="s">
        <v>90</v>
      </c>
      <c r="D5" s="21" t="s">
        <v>71</v>
      </c>
      <c r="E5" s="21" t="s">
        <v>91</v>
      </c>
      <c r="F5" s="21" t="s">
        <v>34</v>
      </c>
      <c r="G5" s="21" t="s">
        <v>73</v>
      </c>
      <c r="H5" s="22" t="n">
        <v>46285</v>
      </c>
      <c r="I5" s="22" t="n">
        <v>46456</v>
      </c>
      <c r="J5" s="21" t="s">
        <v>92</v>
      </c>
      <c r="K5" s="21"/>
      <c r="L5" s="21" t="s">
        <v>93</v>
      </c>
      <c r="M5" s="21"/>
    </row>
    <row r="6" customFormat="false" ht="15" hidden="false" customHeight="false" outlineLevel="0" collapsed="false">
      <c r="A6" s="21" t="s">
        <v>94</v>
      </c>
      <c r="B6" s="21" t="s">
        <v>89</v>
      </c>
      <c r="C6" s="21" t="s">
        <v>95</v>
      </c>
      <c r="D6" s="21" t="s">
        <v>84</v>
      </c>
      <c r="E6" s="21" t="s">
        <v>96</v>
      </c>
      <c r="F6" s="21" t="s">
        <v>34</v>
      </c>
      <c r="G6" s="21" t="s">
        <v>73</v>
      </c>
      <c r="H6" s="22" t="n">
        <v>46285</v>
      </c>
      <c r="I6" s="22" t="n">
        <v>46387</v>
      </c>
      <c r="J6" s="21" t="s">
        <v>97</v>
      </c>
      <c r="K6" s="21"/>
      <c r="L6" s="21" t="s">
        <v>98</v>
      </c>
      <c r="M6" s="21"/>
    </row>
    <row r="7" customFormat="false" ht="23.85" hidden="false" customHeight="false" outlineLevel="0" collapsed="false">
      <c r="A7" s="21" t="s">
        <v>99</v>
      </c>
      <c r="B7" s="21" t="s">
        <v>89</v>
      </c>
      <c r="C7" s="21" t="s">
        <v>100</v>
      </c>
      <c r="D7" s="21" t="s">
        <v>71</v>
      </c>
      <c r="E7" s="21" t="s">
        <v>101</v>
      </c>
      <c r="F7" s="21" t="s">
        <v>34</v>
      </c>
      <c r="G7" s="21" t="s">
        <v>102</v>
      </c>
      <c r="H7" s="22" t="n">
        <v>46285</v>
      </c>
      <c r="I7" s="22" t="n">
        <v>46446</v>
      </c>
      <c r="J7" s="21" t="s">
        <v>103</v>
      </c>
      <c r="K7" s="21"/>
      <c r="L7" s="21" t="s">
        <v>98</v>
      </c>
      <c r="M7" s="21"/>
    </row>
    <row r="8" customFormat="false" ht="23.85" hidden="false" customHeight="false" outlineLevel="0" collapsed="false">
      <c r="A8" s="21" t="s">
        <v>104</v>
      </c>
      <c r="B8" s="21" t="s">
        <v>105</v>
      </c>
      <c r="C8" s="21" t="s">
        <v>106</v>
      </c>
      <c r="D8" s="21" t="s">
        <v>84</v>
      </c>
      <c r="E8" s="21" t="s">
        <v>107</v>
      </c>
      <c r="F8" s="21" t="s">
        <v>34</v>
      </c>
      <c r="G8" s="21" t="s">
        <v>102</v>
      </c>
      <c r="H8" s="22" t="n">
        <v>46285</v>
      </c>
      <c r="I8" s="22" t="n">
        <v>46508</v>
      </c>
      <c r="J8" s="21" t="s">
        <v>108</v>
      </c>
      <c r="K8" s="21"/>
      <c r="L8" s="21"/>
      <c r="M8" s="21"/>
    </row>
    <row r="9" customFormat="false" ht="23.85" hidden="false" customHeight="false" outlineLevel="0" collapsed="false">
      <c r="A9" s="21" t="s">
        <v>109</v>
      </c>
      <c r="B9" s="21" t="s">
        <v>105</v>
      </c>
      <c r="C9" s="21" t="s">
        <v>110</v>
      </c>
      <c r="D9" s="21" t="s">
        <v>71</v>
      </c>
      <c r="E9" s="21" t="s">
        <v>111</v>
      </c>
      <c r="F9" s="21" t="s">
        <v>34</v>
      </c>
      <c r="G9" s="21" t="s">
        <v>73</v>
      </c>
      <c r="H9" s="22" t="n">
        <v>46285</v>
      </c>
      <c r="I9" s="22" t="n">
        <v>46432</v>
      </c>
      <c r="J9" s="21" t="s">
        <v>112</v>
      </c>
      <c r="K9" s="21"/>
      <c r="L9" s="21" t="s">
        <v>113</v>
      </c>
      <c r="M9" s="21"/>
    </row>
    <row r="10" customFormat="false" ht="23.85" hidden="false" customHeight="false" outlineLevel="0" collapsed="false">
      <c r="A10" s="21" t="s">
        <v>114</v>
      </c>
      <c r="B10" s="21" t="s">
        <v>105</v>
      </c>
      <c r="C10" s="21" t="s">
        <v>115</v>
      </c>
      <c r="D10" s="21" t="s">
        <v>71</v>
      </c>
      <c r="E10" s="21" t="s">
        <v>116</v>
      </c>
      <c r="F10" s="21" t="s">
        <v>34</v>
      </c>
      <c r="G10" s="21" t="s">
        <v>102</v>
      </c>
      <c r="H10" s="22" t="n">
        <v>46285</v>
      </c>
      <c r="I10" s="22" t="n">
        <v>46508</v>
      </c>
      <c r="J10" s="21" t="s">
        <v>117</v>
      </c>
      <c r="K10" s="21"/>
      <c r="L10" s="21" t="s">
        <v>118</v>
      </c>
      <c r="M10" s="21"/>
    </row>
    <row r="11" customFormat="false" ht="35.05" hidden="false" customHeight="false" outlineLevel="0" collapsed="false">
      <c r="A11" s="21" t="s">
        <v>119</v>
      </c>
      <c r="B11" s="21" t="s">
        <v>120</v>
      </c>
      <c r="C11" s="21" t="s">
        <v>121</v>
      </c>
      <c r="D11" s="21" t="s">
        <v>71</v>
      </c>
      <c r="E11" s="21" t="s">
        <v>122</v>
      </c>
      <c r="F11" s="21" t="s">
        <v>34</v>
      </c>
      <c r="G11" s="21" t="s">
        <v>73</v>
      </c>
      <c r="H11" s="22" t="n">
        <v>46285</v>
      </c>
      <c r="I11" s="22" t="n">
        <v>46535</v>
      </c>
      <c r="J11" s="21" t="s">
        <v>123</v>
      </c>
      <c r="K11" s="21"/>
      <c r="L11" s="21"/>
      <c r="M11" s="21"/>
    </row>
    <row r="12" customFormat="false" ht="35.05" hidden="false" customHeight="false" outlineLevel="0" collapsed="false">
      <c r="A12" s="21" t="s">
        <v>124</v>
      </c>
      <c r="B12" s="21" t="s">
        <v>120</v>
      </c>
      <c r="C12" s="21" t="s">
        <v>125</v>
      </c>
      <c r="D12" s="21" t="s">
        <v>126</v>
      </c>
      <c r="E12" s="21" t="s">
        <v>127</v>
      </c>
      <c r="F12" s="21" t="s">
        <v>36</v>
      </c>
      <c r="G12" s="21" t="s">
        <v>128</v>
      </c>
      <c r="H12" s="22" t="n">
        <v>46285</v>
      </c>
      <c r="I12" s="22" t="n">
        <v>46371</v>
      </c>
      <c r="J12" s="21" t="s">
        <v>129</v>
      </c>
      <c r="K12" s="21" t="s">
        <v>130</v>
      </c>
      <c r="L12" s="21" t="s">
        <v>131</v>
      </c>
      <c r="M12" s="21"/>
    </row>
    <row r="13" customFormat="false" ht="35.05" hidden="false" customHeight="false" outlineLevel="0" collapsed="false">
      <c r="A13" s="21" t="s">
        <v>132</v>
      </c>
      <c r="B13" s="21" t="s">
        <v>133</v>
      </c>
      <c r="C13" s="21" t="s">
        <v>134</v>
      </c>
      <c r="D13" s="21" t="s">
        <v>126</v>
      </c>
      <c r="E13" s="21" t="s">
        <v>135</v>
      </c>
      <c r="F13" s="21" t="s">
        <v>38</v>
      </c>
      <c r="G13" s="21" t="s">
        <v>73</v>
      </c>
      <c r="H13" s="22" t="n">
        <v>46285</v>
      </c>
      <c r="I13" s="22" t="n">
        <v>46477</v>
      </c>
      <c r="J13" s="21" t="s">
        <v>136</v>
      </c>
      <c r="K13" s="21" t="s">
        <v>137</v>
      </c>
      <c r="L13" s="21" t="s">
        <v>138</v>
      </c>
      <c r="M13" s="21"/>
    </row>
    <row r="14" customFormat="false" ht="23.85" hidden="false" customHeight="false" outlineLevel="0" collapsed="false">
      <c r="A14" s="21" t="s">
        <v>139</v>
      </c>
      <c r="B14" s="21" t="s">
        <v>133</v>
      </c>
      <c r="C14" s="21" t="s">
        <v>140</v>
      </c>
      <c r="D14" s="21" t="s">
        <v>84</v>
      </c>
      <c r="E14" s="21" t="s">
        <v>141</v>
      </c>
      <c r="F14" s="21" t="s">
        <v>34</v>
      </c>
      <c r="G14" s="21" t="s">
        <v>73</v>
      </c>
      <c r="H14" s="22" t="n">
        <v>46285</v>
      </c>
      <c r="I14" s="22" t="n">
        <v>46449</v>
      </c>
      <c r="J14" s="21" t="s">
        <v>142</v>
      </c>
      <c r="K14" s="21"/>
      <c r="L14" s="21" t="s">
        <v>143</v>
      </c>
      <c r="M14" s="21"/>
    </row>
    <row r="15" customFormat="false" ht="35.05" hidden="false" customHeight="false" outlineLevel="0" collapsed="false">
      <c r="A15" s="21" t="s">
        <v>144</v>
      </c>
      <c r="B15" s="21" t="s">
        <v>145</v>
      </c>
      <c r="C15" s="21" t="s">
        <v>146</v>
      </c>
      <c r="D15" s="21" t="s">
        <v>126</v>
      </c>
      <c r="E15" s="21" t="s">
        <v>147</v>
      </c>
      <c r="F15" s="21" t="s">
        <v>38</v>
      </c>
      <c r="G15" s="21" t="s">
        <v>102</v>
      </c>
      <c r="H15" s="22" t="n">
        <v>46285</v>
      </c>
      <c r="I15" s="22" t="n">
        <v>46387</v>
      </c>
      <c r="J15" s="21" t="s">
        <v>148</v>
      </c>
      <c r="K15" s="21" t="s">
        <v>149</v>
      </c>
      <c r="L15" s="21" t="s">
        <v>150</v>
      </c>
      <c r="M15" s="21"/>
    </row>
    <row r="16" customFormat="false" ht="46.25" hidden="false" customHeight="false" outlineLevel="0" collapsed="false">
      <c r="A16" s="21" t="s">
        <v>151</v>
      </c>
      <c r="B16" s="21" t="s">
        <v>145</v>
      </c>
      <c r="C16" s="21" t="s">
        <v>152</v>
      </c>
      <c r="D16" s="21" t="s">
        <v>71</v>
      </c>
      <c r="E16" s="21" t="s">
        <v>153</v>
      </c>
      <c r="F16" s="21" t="s">
        <v>34</v>
      </c>
      <c r="G16" s="21" t="s">
        <v>73</v>
      </c>
      <c r="H16" s="22" t="n">
        <v>46285</v>
      </c>
      <c r="I16" s="22" t="n">
        <v>46466</v>
      </c>
      <c r="J16" s="21" t="s">
        <v>154</v>
      </c>
      <c r="K16" s="21"/>
      <c r="L16" s="21"/>
      <c r="M16" s="21"/>
    </row>
    <row r="17" customFormat="false" ht="15" hidden="false" customHeight="false" outlineLevel="0" collapsed="false">
      <c r="H17" s="23"/>
      <c r="I17" s="23"/>
    </row>
    <row r="18" customFormat="false" ht="15" hidden="false" customHeight="false" outlineLevel="0" collapsed="false">
      <c r="H18" s="23"/>
      <c r="I18" s="23"/>
    </row>
    <row r="19" customFormat="false" ht="15" hidden="false" customHeight="false" outlineLevel="0" collapsed="false">
      <c r="H19" s="23"/>
      <c r="I19" s="23"/>
    </row>
    <row r="20" customFormat="false" ht="15" hidden="false" customHeight="false" outlineLevel="0" collapsed="false">
      <c r="H20" s="23"/>
      <c r="I20" s="23"/>
    </row>
    <row r="21" customFormat="false" ht="15" hidden="false" customHeight="false" outlineLevel="0" collapsed="false">
      <c r="H21" s="23"/>
      <c r="I21" s="23"/>
    </row>
    <row r="22" customFormat="false" ht="15" hidden="false" customHeight="false" outlineLevel="0" collapsed="false">
      <c r="H22" s="23"/>
      <c r="I22" s="23"/>
    </row>
    <row r="23" customFormat="false" ht="15" hidden="false" customHeight="false" outlineLevel="0" collapsed="false">
      <c r="H23" s="23"/>
      <c r="I23" s="23"/>
    </row>
    <row r="24" customFormat="false" ht="15" hidden="false" customHeight="false" outlineLevel="0" collapsed="false">
      <c r="H24" s="23"/>
      <c r="I24" s="23"/>
    </row>
    <row r="25" customFormat="false" ht="15" hidden="false" customHeight="false" outlineLevel="0" collapsed="false">
      <c r="H25" s="23"/>
      <c r="I25" s="23"/>
    </row>
    <row r="26" customFormat="false" ht="15" hidden="false" customHeight="false" outlineLevel="0" collapsed="false">
      <c r="H26" s="23"/>
      <c r="I26" s="23"/>
    </row>
    <row r="27" customFormat="false" ht="15" hidden="false" customHeight="false" outlineLevel="0" collapsed="false">
      <c r="H27" s="23"/>
      <c r="I27" s="23"/>
    </row>
    <row r="28" customFormat="false" ht="15" hidden="false" customHeight="false" outlineLevel="0" collapsed="false">
      <c r="H28" s="23"/>
      <c r="I28" s="23"/>
    </row>
    <row r="29" customFormat="false" ht="15" hidden="false" customHeight="false" outlineLevel="0" collapsed="false">
      <c r="H29" s="23"/>
      <c r="I29" s="23"/>
    </row>
    <row r="30" customFormat="false" ht="15" hidden="false" customHeight="false" outlineLevel="0" collapsed="false">
      <c r="H30" s="23"/>
      <c r="I30" s="23"/>
    </row>
    <row r="31" customFormat="false" ht="15" hidden="false" customHeight="false" outlineLevel="0" collapsed="false">
      <c r="H31" s="23"/>
      <c r="I31" s="23"/>
    </row>
    <row r="32" customFormat="false" ht="15" hidden="false" customHeight="false" outlineLevel="0" collapsed="false">
      <c r="H32" s="23"/>
      <c r="I32" s="23"/>
    </row>
    <row r="33" customFormat="false" ht="15" hidden="false" customHeight="false" outlineLevel="0" collapsed="false">
      <c r="H33" s="23"/>
      <c r="I33" s="23"/>
    </row>
    <row r="34" customFormat="false" ht="15" hidden="false" customHeight="false" outlineLevel="0" collapsed="false">
      <c r="H34" s="23"/>
      <c r="I34" s="23"/>
    </row>
    <row r="35" customFormat="false" ht="15" hidden="false" customHeight="false" outlineLevel="0" collapsed="false">
      <c r="H35" s="23"/>
      <c r="I35" s="23"/>
    </row>
    <row r="36" customFormat="false" ht="15" hidden="false" customHeight="false" outlineLevel="0" collapsed="false">
      <c r="H36" s="23"/>
      <c r="I36" s="23"/>
    </row>
    <row r="37" customFormat="false" ht="15" hidden="false" customHeight="false" outlineLevel="0" collapsed="false">
      <c r="H37" s="23"/>
      <c r="I37" s="23"/>
    </row>
    <row r="38" customFormat="false" ht="15" hidden="false" customHeight="false" outlineLevel="0" collapsed="false">
      <c r="H38" s="23"/>
      <c r="I38" s="23"/>
    </row>
    <row r="39" customFormat="false" ht="15" hidden="false" customHeight="false" outlineLevel="0" collapsed="false">
      <c r="H39" s="23"/>
      <c r="I39" s="23"/>
    </row>
    <row r="40" customFormat="false" ht="15" hidden="false" customHeight="false" outlineLevel="0" collapsed="false">
      <c r="H40" s="23"/>
      <c r="I40" s="23"/>
    </row>
    <row r="41" customFormat="false" ht="15" hidden="false" customHeight="false" outlineLevel="0" collapsed="false">
      <c r="H41" s="23"/>
      <c r="I41" s="23"/>
    </row>
    <row r="42" customFormat="false" ht="15" hidden="false" customHeight="false" outlineLevel="0" collapsed="false">
      <c r="H42" s="23"/>
      <c r="I42" s="23"/>
    </row>
    <row r="43" customFormat="false" ht="15" hidden="false" customHeight="false" outlineLevel="0" collapsed="false">
      <c r="H43" s="23"/>
      <c r="I43" s="23"/>
    </row>
    <row r="44" customFormat="false" ht="15" hidden="false" customHeight="false" outlineLevel="0" collapsed="false">
      <c r="H44" s="23"/>
      <c r="I44" s="23"/>
    </row>
    <row r="45" customFormat="false" ht="15" hidden="false" customHeight="false" outlineLevel="0" collapsed="false">
      <c r="H45" s="23"/>
      <c r="I45" s="23"/>
    </row>
    <row r="46" customFormat="false" ht="15" hidden="false" customHeight="false" outlineLevel="0" collapsed="false">
      <c r="H46" s="23"/>
      <c r="I46" s="23"/>
    </row>
    <row r="47" customFormat="false" ht="15" hidden="false" customHeight="false" outlineLevel="0" collapsed="false">
      <c r="H47" s="23"/>
      <c r="I47" s="23"/>
    </row>
    <row r="48" customFormat="false" ht="15" hidden="false" customHeight="false" outlineLevel="0" collapsed="false">
      <c r="H48" s="23"/>
      <c r="I48" s="23"/>
    </row>
    <row r="49" customFormat="false" ht="15" hidden="false" customHeight="false" outlineLevel="0" collapsed="false">
      <c r="H49" s="23"/>
      <c r="I49" s="23"/>
    </row>
    <row r="50" customFormat="false" ht="15" hidden="false" customHeight="false" outlineLevel="0" collapsed="false">
      <c r="H50" s="23"/>
      <c r="I50" s="23"/>
    </row>
    <row r="51" customFormat="false" ht="15" hidden="false" customHeight="false" outlineLevel="0" collapsed="false">
      <c r="H51" s="23"/>
      <c r="I51" s="23"/>
    </row>
    <row r="52" customFormat="false" ht="15" hidden="false" customHeight="false" outlineLevel="0" collapsed="false">
      <c r="H52" s="23"/>
      <c r="I52" s="23"/>
    </row>
    <row r="53" customFormat="false" ht="15" hidden="false" customHeight="false" outlineLevel="0" collapsed="false">
      <c r="H53" s="23"/>
      <c r="I53" s="23"/>
    </row>
    <row r="54" customFormat="false" ht="15" hidden="false" customHeight="false" outlineLevel="0" collapsed="false">
      <c r="H54" s="23"/>
      <c r="I54" s="23"/>
    </row>
    <row r="55" customFormat="false" ht="15" hidden="false" customHeight="false" outlineLevel="0" collapsed="false">
      <c r="H55" s="23"/>
      <c r="I55" s="23"/>
    </row>
    <row r="56" customFormat="false" ht="15" hidden="false" customHeight="false" outlineLevel="0" collapsed="false">
      <c r="H56" s="23"/>
      <c r="I56" s="23"/>
    </row>
    <row r="57" customFormat="false" ht="15" hidden="false" customHeight="false" outlineLevel="0" collapsed="false">
      <c r="H57" s="23"/>
      <c r="I57" s="23"/>
    </row>
    <row r="58" customFormat="false" ht="15" hidden="false" customHeight="false" outlineLevel="0" collapsed="false">
      <c r="H58" s="23"/>
      <c r="I58" s="23"/>
    </row>
    <row r="59" customFormat="false" ht="15" hidden="false" customHeight="false" outlineLevel="0" collapsed="false">
      <c r="H59" s="23"/>
      <c r="I59" s="23"/>
    </row>
    <row r="60" customFormat="false" ht="15" hidden="false" customHeight="false" outlineLevel="0" collapsed="false">
      <c r="H60" s="23"/>
      <c r="I60" s="23"/>
    </row>
    <row r="61" customFormat="false" ht="15" hidden="false" customHeight="false" outlineLevel="0" collapsed="false">
      <c r="H61" s="23"/>
      <c r="I61" s="23"/>
    </row>
    <row r="62" customFormat="false" ht="15" hidden="false" customHeight="false" outlineLevel="0" collapsed="false">
      <c r="H62" s="23"/>
      <c r="I62" s="23"/>
    </row>
    <row r="63" customFormat="false" ht="15" hidden="false" customHeight="false" outlineLevel="0" collapsed="false">
      <c r="H63" s="23"/>
      <c r="I63" s="23"/>
    </row>
    <row r="64" customFormat="false" ht="15" hidden="false" customHeight="false" outlineLevel="0" collapsed="false">
      <c r="H64" s="23"/>
      <c r="I64" s="23"/>
    </row>
    <row r="65" customFormat="false" ht="15" hidden="false" customHeight="false" outlineLevel="0" collapsed="false">
      <c r="H65" s="23"/>
      <c r="I65" s="23"/>
    </row>
    <row r="66" customFormat="false" ht="15" hidden="false" customHeight="false" outlineLevel="0" collapsed="false">
      <c r="H66" s="23"/>
      <c r="I66" s="23"/>
    </row>
    <row r="67" customFormat="false" ht="15" hidden="false" customHeight="false" outlineLevel="0" collapsed="false">
      <c r="H67" s="23"/>
      <c r="I67" s="23"/>
    </row>
    <row r="68" customFormat="false" ht="15" hidden="false" customHeight="false" outlineLevel="0" collapsed="false">
      <c r="H68" s="23"/>
      <c r="I68" s="23"/>
    </row>
    <row r="69" customFormat="false" ht="15" hidden="false" customHeight="false" outlineLevel="0" collapsed="false">
      <c r="H69" s="23"/>
      <c r="I69" s="23"/>
    </row>
    <row r="70" customFormat="false" ht="15" hidden="false" customHeight="false" outlineLevel="0" collapsed="false">
      <c r="H70" s="23"/>
      <c r="I70" s="23"/>
    </row>
    <row r="71" customFormat="false" ht="15" hidden="false" customHeight="false" outlineLevel="0" collapsed="false">
      <c r="H71" s="23"/>
      <c r="I71" s="23"/>
    </row>
    <row r="72" customFormat="false" ht="15" hidden="false" customHeight="false" outlineLevel="0" collapsed="false">
      <c r="H72" s="23"/>
      <c r="I72" s="23"/>
    </row>
    <row r="73" customFormat="false" ht="15" hidden="false" customHeight="false" outlineLevel="0" collapsed="false">
      <c r="H73" s="23"/>
      <c r="I73" s="23"/>
    </row>
    <row r="74" customFormat="false" ht="15" hidden="false" customHeight="false" outlineLevel="0" collapsed="false">
      <c r="H74" s="23"/>
      <c r="I74" s="23"/>
    </row>
    <row r="75" customFormat="false" ht="15" hidden="false" customHeight="false" outlineLevel="0" collapsed="false">
      <c r="H75" s="23"/>
      <c r="I75" s="23"/>
    </row>
    <row r="76" customFormat="false" ht="15" hidden="false" customHeight="false" outlineLevel="0" collapsed="false">
      <c r="H76" s="23"/>
      <c r="I76" s="23"/>
    </row>
    <row r="77" customFormat="false" ht="15" hidden="false" customHeight="false" outlineLevel="0" collapsed="false">
      <c r="H77" s="23"/>
      <c r="I77" s="23"/>
    </row>
    <row r="78" customFormat="false" ht="15" hidden="false" customHeight="false" outlineLevel="0" collapsed="false">
      <c r="H78" s="23"/>
      <c r="I78" s="23"/>
    </row>
    <row r="79" customFormat="false" ht="15" hidden="false" customHeight="false" outlineLevel="0" collapsed="false">
      <c r="H79" s="23"/>
      <c r="I79" s="23"/>
    </row>
    <row r="80" customFormat="false" ht="15" hidden="false" customHeight="false" outlineLevel="0" collapsed="false">
      <c r="H80" s="23"/>
      <c r="I80" s="23"/>
    </row>
    <row r="81" customFormat="false" ht="15" hidden="false" customHeight="false" outlineLevel="0" collapsed="false">
      <c r="H81" s="23"/>
      <c r="I81" s="23"/>
    </row>
    <row r="82" customFormat="false" ht="15" hidden="false" customHeight="false" outlineLevel="0" collapsed="false">
      <c r="H82" s="23"/>
      <c r="I82" s="23"/>
    </row>
    <row r="83" customFormat="false" ht="15" hidden="false" customHeight="false" outlineLevel="0" collapsed="false">
      <c r="H83" s="23"/>
      <c r="I83" s="23"/>
    </row>
    <row r="84" customFormat="false" ht="15" hidden="false" customHeight="false" outlineLevel="0" collapsed="false">
      <c r="H84" s="23"/>
      <c r="I84" s="23"/>
    </row>
    <row r="85" customFormat="false" ht="15" hidden="false" customHeight="false" outlineLevel="0" collapsed="false">
      <c r="H85" s="23"/>
      <c r="I85" s="23"/>
    </row>
    <row r="86" customFormat="false" ht="15" hidden="false" customHeight="false" outlineLevel="0" collapsed="false">
      <c r="H86" s="23"/>
      <c r="I86" s="23"/>
    </row>
    <row r="87" customFormat="false" ht="15" hidden="false" customHeight="false" outlineLevel="0" collapsed="false">
      <c r="H87" s="23"/>
      <c r="I87" s="23"/>
    </row>
    <row r="88" customFormat="false" ht="15" hidden="false" customHeight="false" outlineLevel="0" collapsed="false">
      <c r="H88" s="23"/>
      <c r="I88" s="23"/>
    </row>
    <row r="89" customFormat="false" ht="15" hidden="false" customHeight="false" outlineLevel="0" collapsed="false">
      <c r="H89" s="23"/>
      <c r="I89" s="23"/>
    </row>
    <row r="90" customFormat="false" ht="15" hidden="false" customHeight="false" outlineLevel="0" collapsed="false">
      <c r="H90" s="23"/>
      <c r="I90" s="23"/>
    </row>
    <row r="91" customFormat="false" ht="15" hidden="false" customHeight="false" outlineLevel="0" collapsed="false">
      <c r="H91" s="23"/>
      <c r="I91" s="23"/>
    </row>
    <row r="92" customFormat="false" ht="15" hidden="false" customHeight="false" outlineLevel="0" collapsed="false">
      <c r="H92" s="23"/>
      <c r="I92" s="23"/>
    </row>
    <row r="93" customFormat="false" ht="15" hidden="false" customHeight="false" outlineLevel="0" collapsed="false">
      <c r="H93" s="23"/>
      <c r="I93" s="23"/>
    </row>
    <row r="94" customFormat="false" ht="15" hidden="false" customHeight="false" outlineLevel="0" collapsed="false">
      <c r="H94" s="23"/>
      <c r="I94" s="23"/>
    </row>
    <row r="95" customFormat="false" ht="15" hidden="false" customHeight="false" outlineLevel="0" collapsed="false">
      <c r="H95" s="23"/>
      <c r="I95" s="23"/>
    </row>
    <row r="96" customFormat="false" ht="15" hidden="false" customHeight="false" outlineLevel="0" collapsed="false">
      <c r="H96" s="23"/>
      <c r="I96" s="23"/>
    </row>
    <row r="97" customFormat="false" ht="15" hidden="false" customHeight="false" outlineLevel="0" collapsed="false">
      <c r="H97" s="23"/>
      <c r="I97" s="23"/>
    </row>
    <row r="98" customFormat="false" ht="15" hidden="false" customHeight="false" outlineLevel="0" collapsed="false">
      <c r="H98" s="23"/>
      <c r="I98" s="23"/>
    </row>
    <row r="99" customFormat="false" ht="15" hidden="false" customHeight="false" outlineLevel="0" collapsed="false">
      <c r="H99" s="23"/>
      <c r="I99" s="23"/>
    </row>
    <row r="100" customFormat="false" ht="15" hidden="false" customHeight="false" outlineLevel="0" collapsed="false">
      <c r="H100" s="23"/>
      <c r="I100" s="23"/>
    </row>
    <row r="101" customFormat="false" ht="15" hidden="false" customHeight="false" outlineLevel="0" collapsed="false">
      <c r="H101" s="23"/>
      <c r="I101" s="23"/>
    </row>
    <row r="102" customFormat="false" ht="15" hidden="false" customHeight="false" outlineLevel="0" collapsed="false">
      <c r="H102" s="23"/>
      <c r="I102" s="23"/>
    </row>
    <row r="103" customFormat="false" ht="15" hidden="false" customHeight="false" outlineLevel="0" collapsed="false">
      <c r="H103" s="23"/>
      <c r="I103" s="23"/>
    </row>
    <row r="104" customFormat="false" ht="15" hidden="false" customHeight="false" outlineLevel="0" collapsed="false">
      <c r="H104" s="23"/>
      <c r="I104" s="23"/>
    </row>
    <row r="105" customFormat="false" ht="15" hidden="false" customHeight="false" outlineLevel="0" collapsed="false">
      <c r="H105" s="23"/>
      <c r="I105" s="23"/>
    </row>
    <row r="106" customFormat="false" ht="15" hidden="false" customHeight="false" outlineLevel="0" collapsed="false">
      <c r="H106" s="23"/>
      <c r="I106" s="23"/>
    </row>
    <row r="107" customFormat="false" ht="15" hidden="false" customHeight="false" outlineLevel="0" collapsed="false">
      <c r="H107" s="23"/>
      <c r="I107" s="23"/>
    </row>
    <row r="108" customFormat="false" ht="15" hidden="false" customHeight="false" outlineLevel="0" collapsed="false">
      <c r="H108" s="23"/>
      <c r="I108" s="23"/>
    </row>
    <row r="109" customFormat="false" ht="15" hidden="false" customHeight="false" outlineLevel="0" collapsed="false">
      <c r="H109" s="23"/>
      <c r="I109" s="23"/>
    </row>
    <row r="110" customFormat="false" ht="15" hidden="false" customHeight="false" outlineLevel="0" collapsed="false">
      <c r="H110" s="23"/>
      <c r="I110" s="23"/>
    </row>
    <row r="111" customFormat="false" ht="15" hidden="false" customHeight="false" outlineLevel="0" collapsed="false">
      <c r="H111" s="23"/>
      <c r="I111" s="23"/>
    </row>
    <row r="112" customFormat="false" ht="15" hidden="false" customHeight="false" outlineLevel="0" collapsed="false">
      <c r="H112" s="23"/>
      <c r="I112" s="23"/>
    </row>
    <row r="113" customFormat="false" ht="15" hidden="false" customHeight="false" outlineLevel="0" collapsed="false">
      <c r="H113" s="23"/>
      <c r="I113" s="23"/>
    </row>
    <row r="114" customFormat="false" ht="15" hidden="false" customHeight="false" outlineLevel="0" collapsed="false">
      <c r="H114" s="23"/>
      <c r="I114" s="23"/>
    </row>
    <row r="115" customFormat="false" ht="15" hidden="false" customHeight="false" outlineLevel="0" collapsed="false">
      <c r="H115" s="23"/>
      <c r="I115" s="23"/>
    </row>
    <row r="116" customFormat="false" ht="15" hidden="false" customHeight="false" outlineLevel="0" collapsed="false">
      <c r="H116" s="23"/>
      <c r="I116" s="23"/>
    </row>
    <row r="117" customFormat="false" ht="15" hidden="false" customHeight="false" outlineLevel="0" collapsed="false">
      <c r="H117" s="23"/>
      <c r="I117" s="23"/>
    </row>
    <row r="118" customFormat="false" ht="15" hidden="false" customHeight="false" outlineLevel="0" collapsed="false">
      <c r="H118" s="23"/>
      <c r="I118" s="23"/>
    </row>
    <row r="119" customFormat="false" ht="15" hidden="false" customHeight="false" outlineLevel="0" collapsed="false">
      <c r="H119" s="23"/>
      <c r="I119" s="23"/>
    </row>
    <row r="120" customFormat="false" ht="15" hidden="false" customHeight="false" outlineLevel="0" collapsed="false">
      <c r="H120" s="23"/>
      <c r="I120" s="23"/>
    </row>
    <row r="121" customFormat="false" ht="15" hidden="false" customHeight="false" outlineLevel="0" collapsed="false">
      <c r="H121" s="23"/>
      <c r="I121" s="23"/>
    </row>
    <row r="122" customFormat="false" ht="15" hidden="false" customHeight="false" outlineLevel="0" collapsed="false">
      <c r="H122" s="23"/>
      <c r="I122" s="23"/>
    </row>
    <row r="123" customFormat="false" ht="15" hidden="false" customHeight="false" outlineLevel="0" collapsed="false">
      <c r="H123" s="23"/>
      <c r="I123" s="23"/>
    </row>
    <row r="124" customFormat="false" ht="15" hidden="false" customHeight="false" outlineLevel="0" collapsed="false">
      <c r="H124" s="23"/>
      <c r="I124" s="23"/>
    </row>
    <row r="125" customFormat="false" ht="15" hidden="false" customHeight="false" outlineLevel="0" collapsed="false">
      <c r="H125" s="23"/>
      <c r="I125" s="23"/>
    </row>
    <row r="126" customFormat="false" ht="15" hidden="false" customHeight="false" outlineLevel="0" collapsed="false">
      <c r="H126" s="23"/>
      <c r="I126" s="23"/>
    </row>
    <row r="127" customFormat="false" ht="15" hidden="false" customHeight="false" outlineLevel="0" collapsed="false">
      <c r="H127" s="23"/>
      <c r="I127" s="23"/>
    </row>
    <row r="128" customFormat="false" ht="15" hidden="false" customHeight="false" outlineLevel="0" collapsed="false">
      <c r="H128" s="23"/>
      <c r="I128" s="23"/>
    </row>
    <row r="129" customFormat="false" ht="15" hidden="false" customHeight="false" outlineLevel="0" collapsed="false">
      <c r="H129" s="23"/>
      <c r="I129" s="23"/>
    </row>
    <row r="130" customFormat="false" ht="15" hidden="false" customHeight="false" outlineLevel="0" collapsed="false">
      <c r="H130" s="23"/>
      <c r="I130" s="23"/>
    </row>
    <row r="131" customFormat="false" ht="15" hidden="false" customHeight="false" outlineLevel="0" collapsed="false">
      <c r="H131" s="23"/>
      <c r="I131" s="23"/>
    </row>
    <row r="132" customFormat="false" ht="15" hidden="false" customHeight="false" outlineLevel="0" collapsed="false">
      <c r="H132" s="23"/>
      <c r="I132" s="23"/>
    </row>
    <row r="133" customFormat="false" ht="15" hidden="false" customHeight="false" outlineLevel="0" collapsed="false">
      <c r="H133" s="23"/>
      <c r="I133" s="23"/>
    </row>
    <row r="134" customFormat="false" ht="15" hidden="false" customHeight="false" outlineLevel="0" collapsed="false">
      <c r="H134" s="23"/>
      <c r="I134" s="23"/>
    </row>
    <row r="135" customFormat="false" ht="15" hidden="false" customHeight="false" outlineLevel="0" collapsed="false">
      <c r="H135" s="23"/>
      <c r="I135" s="23"/>
    </row>
    <row r="136" customFormat="false" ht="15" hidden="false" customHeight="false" outlineLevel="0" collapsed="false">
      <c r="H136" s="23"/>
      <c r="I136" s="23"/>
    </row>
    <row r="137" customFormat="false" ht="15" hidden="false" customHeight="false" outlineLevel="0" collapsed="false">
      <c r="H137" s="23"/>
      <c r="I137" s="23"/>
    </row>
    <row r="138" customFormat="false" ht="15" hidden="false" customHeight="false" outlineLevel="0" collapsed="false">
      <c r="H138" s="23"/>
      <c r="I138" s="23"/>
    </row>
    <row r="139" customFormat="false" ht="15" hidden="false" customHeight="false" outlineLevel="0" collapsed="false">
      <c r="H139" s="23"/>
      <c r="I139" s="23"/>
    </row>
    <row r="140" customFormat="false" ht="15" hidden="false" customHeight="false" outlineLevel="0" collapsed="false">
      <c r="H140" s="23"/>
      <c r="I140" s="23"/>
    </row>
    <row r="141" customFormat="false" ht="15" hidden="false" customHeight="false" outlineLevel="0" collapsed="false">
      <c r="H141" s="23"/>
      <c r="I141" s="23"/>
    </row>
    <row r="142" customFormat="false" ht="15" hidden="false" customHeight="false" outlineLevel="0" collapsed="false">
      <c r="H142" s="23"/>
      <c r="I142" s="23"/>
    </row>
    <row r="143" customFormat="false" ht="15" hidden="false" customHeight="false" outlineLevel="0" collapsed="false">
      <c r="H143" s="23"/>
      <c r="I143" s="23"/>
    </row>
    <row r="144" customFormat="false" ht="15" hidden="false" customHeight="false" outlineLevel="0" collapsed="false">
      <c r="H144" s="23"/>
      <c r="I144" s="23"/>
    </row>
    <row r="145" customFormat="false" ht="15" hidden="false" customHeight="false" outlineLevel="0" collapsed="false">
      <c r="H145" s="23"/>
      <c r="I145" s="23"/>
    </row>
    <row r="146" customFormat="false" ht="15" hidden="false" customHeight="false" outlineLevel="0" collapsed="false">
      <c r="H146" s="23"/>
      <c r="I146" s="23"/>
    </row>
    <row r="147" customFormat="false" ht="15" hidden="false" customHeight="false" outlineLevel="0" collapsed="false">
      <c r="H147" s="23"/>
      <c r="I147" s="23"/>
    </row>
    <row r="148" customFormat="false" ht="15" hidden="false" customHeight="false" outlineLevel="0" collapsed="false">
      <c r="H148" s="23"/>
      <c r="I148" s="23"/>
    </row>
    <row r="149" customFormat="false" ht="15" hidden="false" customHeight="false" outlineLevel="0" collapsed="false">
      <c r="H149" s="23"/>
      <c r="I149" s="23"/>
    </row>
    <row r="150" customFormat="false" ht="15" hidden="false" customHeight="false" outlineLevel="0" collapsed="false">
      <c r="H150" s="23"/>
      <c r="I150" s="23"/>
    </row>
    <row r="151" customFormat="false" ht="15" hidden="false" customHeight="false" outlineLevel="0" collapsed="false">
      <c r="H151" s="23"/>
      <c r="I151" s="23"/>
    </row>
    <row r="152" customFormat="false" ht="15" hidden="false" customHeight="false" outlineLevel="0" collapsed="false">
      <c r="H152" s="23"/>
      <c r="I152" s="23"/>
    </row>
    <row r="153" customFormat="false" ht="15" hidden="false" customHeight="false" outlineLevel="0" collapsed="false">
      <c r="H153" s="23"/>
      <c r="I153" s="23"/>
    </row>
    <row r="154" customFormat="false" ht="15" hidden="false" customHeight="false" outlineLevel="0" collapsed="false">
      <c r="H154" s="23"/>
      <c r="I154" s="23"/>
    </row>
    <row r="155" customFormat="false" ht="15" hidden="false" customHeight="false" outlineLevel="0" collapsed="false">
      <c r="H155" s="23"/>
      <c r="I155" s="23"/>
    </row>
    <row r="156" customFormat="false" ht="15" hidden="false" customHeight="false" outlineLevel="0" collapsed="false">
      <c r="H156" s="23"/>
      <c r="I156" s="23"/>
    </row>
    <row r="157" customFormat="false" ht="15" hidden="false" customHeight="false" outlineLevel="0" collapsed="false">
      <c r="H157" s="23"/>
      <c r="I157" s="23"/>
    </row>
    <row r="158" customFormat="false" ht="15" hidden="false" customHeight="false" outlineLevel="0" collapsed="false">
      <c r="H158" s="23"/>
      <c r="I158" s="23"/>
    </row>
    <row r="159" customFormat="false" ht="15" hidden="false" customHeight="false" outlineLevel="0" collapsed="false">
      <c r="H159" s="23"/>
      <c r="I159" s="23"/>
    </row>
    <row r="160" customFormat="false" ht="15" hidden="false" customHeight="false" outlineLevel="0" collapsed="false">
      <c r="H160" s="23"/>
      <c r="I160" s="23"/>
    </row>
    <row r="161" customFormat="false" ht="15" hidden="false" customHeight="false" outlineLevel="0" collapsed="false">
      <c r="H161" s="23"/>
      <c r="I161" s="23"/>
    </row>
    <row r="162" customFormat="false" ht="15" hidden="false" customHeight="false" outlineLevel="0" collapsed="false">
      <c r="H162" s="23"/>
      <c r="I162" s="23"/>
    </row>
    <row r="163" customFormat="false" ht="15" hidden="false" customHeight="false" outlineLevel="0" collapsed="false">
      <c r="H163" s="23"/>
      <c r="I163" s="23"/>
    </row>
    <row r="164" customFormat="false" ht="15" hidden="false" customHeight="false" outlineLevel="0" collapsed="false">
      <c r="H164" s="23"/>
      <c r="I164" s="23"/>
    </row>
    <row r="165" customFormat="false" ht="15" hidden="false" customHeight="false" outlineLevel="0" collapsed="false">
      <c r="H165" s="23"/>
      <c r="I165" s="23"/>
    </row>
    <row r="166" customFormat="false" ht="15" hidden="false" customHeight="false" outlineLevel="0" collapsed="false">
      <c r="H166" s="23"/>
      <c r="I166" s="23"/>
    </row>
    <row r="167" customFormat="false" ht="15" hidden="false" customHeight="false" outlineLevel="0" collapsed="false">
      <c r="H167" s="23"/>
      <c r="I167" s="23"/>
    </row>
    <row r="168" customFormat="false" ht="15" hidden="false" customHeight="false" outlineLevel="0" collapsed="false">
      <c r="H168" s="23"/>
      <c r="I168" s="23"/>
    </row>
    <row r="169" customFormat="false" ht="15" hidden="false" customHeight="false" outlineLevel="0" collapsed="false">
      <c r="H169" s="23"/>
      <c r="I169" s="23"/>
    </row>
    <row r="170" customFormat="false" ht="15" hidden="false" customHeight="false" outlineLevel="0" collapsed="false">
      <c r="H170" s="23"/>
      <c r="I170" s="23"/>
    </row>
    <row r="171" customFormat="false" ht="15" hidden="false" customHeight="false" outlineLevel="0" collapsed="false">
      <c r="H171" s="23"/>
      <c r="I171" s="23"/>
    </row>
    <row r="172" customFormat="false" ht="15" hidden="false" customHeight="false" outlineLevel="0" collapsed="false">
      <c r="H172" s="23"/>
      <c r="I172" s="23"/>
    </row>
    <row r="173" customFormat="false" ht="15" hidden="false" customHeight="false" outlineLevel="0" collapsed="false">
      <c r="H173" s="23"/>
      <c r="I173" s="23"/>
    </row>
    <row r="174" customFormat="false" ht="15" hidden="false" customHeight="false" outlineLevel="0" collapsed="false">
      <c r="H174" s="23"/>
      <c r="I174" s="23"/>
    </row>
    <row r="175" customFormat="false" ht="15" hidden="false" customHeight="false" outlineLevel="0" collapsed="false">
      <c r="H175" s="23"/>
      <c r="I175" s="23"/>
    </row>
    <row r="176" customFormat="false" ht="15" hidden="false" customHeight="false" outlineLevel="0" collapsed="false">
      <c r="H176" s="23"/>
      <c r="I176" s="23"/>
    </row>
    <row r="177" customFormat="false" ht="15" hidden="false" customHeight="false" outlineLevel="0" collapsed="false">
      <c r="H177" s="23"/>
      <c r="I177" s="23"/>
    </row>
    <row r="178" customFormat="false" ht="15" hidden="false" customHeight="false" outlineLevel="0" collapsed="false">
      <c r="H178" s="23"/>
      <c r="I178" s="23"/>
    </row>
    <row r="179" customFormat="false" ht="15" hidden="false" customHeight="false" outlineLevel="0" collapsed="false">
      <c r="H179" s="23"/>
      <c r="I179" s="23"/>
    </row>
    <row r="180" customFormat="false" ht="15" hidden="false" customHeight="false" outlineLevel="0" collapsed="false">
      <c r="H180" s="23"/>
      <c r="I180" s="23"/>
    </row>
    <row r="181" customFormat="false" ht="15" hidden="false" customHeight="false" outlineLevel="0" collapsed="false">
      <c r="H181" s="23"/>
      <c r="I181" s="23"/>
    </row>
    <row r="182" customFormat="false" ht="15" hidden="false" customHeight="false" outlineLevel="0" collapsed="false">
      <c r="H182" s="23"/>
      <c r="I182" s="23"/>
    </row>
    <row r="183" customFormat="false" ht="15" hidden="false" customHeight="false" outlineLevel="0" collapsed="false">
      <c r="H183" s="23"/>
      <c r="I183" s="23"/>
    </row>
    <row r="184" customFormat="false" ht="15" hidden="false" customHeight="false" outlineLevel="0" collapsed="false">
      <c r="H184" s="23"/>
      <c r="I184" s="23"/>
    </row>
    <row r="185" customFormat="false" ht="15" hidden="false" customHeight="false" outlineLevel="0" collapsed="false">
      <c r="H185" s="23"/>
      <c r="I185" s="23"/>
    </row>
    <row r="186" customFormat="false" ht="15" hidden="false" customHeight="false" outlineLevel="0" collapsed="false">
      <c r="H186" s="23"/>
      <c r="I186" s="23"/>
    </row>
    <row r="187" customFormat="false" ht="15" hidden="false" customHeight="false" outlineLevel="0" collapsed="false">
      <c r="H187" s="23"/>
      <c r="I187" s="23"/>
    </row>
    <row r="188" customFormat="false" ht="15" hidden="false" customHeight="false" outlineLevel="0" collapsed="false">
      <c r="H188" s="23"/>
      <c r="I188" s="23"/>
    </row>
    <row r="189" customFormat="false" ht="15" hidden="false" customHeight="false" outlineLevel="0" collapsed="false">
      <c r="H189" s="23"/>
      <c r="I189" s="23"/>
    </row>
    <row r="190" customFormat="false" ht="15" hidden="false" customHeight="false" outlineLevel="0" collapsed="false">
      <c r="H190" s="23"/>
      <c r="I190" s="23"/>
    </row>
    <row r="191" customFormat="false" ht="15" hidden="false" customHeight="false" outlineLevel="0" collapsed="false">
      <c r="H191" s="23"/>
      <c r="I191" s="23"/>
    </row>
    <row r="192" customFormat="false" ht="15" hidden="false" customHeight="false" outlineLevel="0" collapsed="false">
      <c r="H192" s="23"/>
      <c r="I192" s="23"/>
    </row>
    <row r="193" customFormat="false" ht="15" hidden="false" customHeight="false" outlineLevel="0" collapsed="false">
      <c r="H193" s="23"/>
      <c r="I193" s="23"/>
    </row>
    <row r="194" customFormat="false" ht="15" hidden="false" customHeight="false" outlineLevel="0" collapsed="false">
      <c r="H194" s="23"/>
      <c r="I194" s="23"/>
    </row>
    <row r="195" customFormat="false" ht="15" hidden="false" customHeight="false" outlineLevel="0" collapsed="false">
      <c r="H195" s="23"/>
      <c r="I195" s="23"/>
    </row>
    <row r="196" customFormat="false" ht="15" hidden="false" customHeight="false" outlineLevel="0" collapsed="false">
      <c r="H196" s="23"/>
      <c r="I196" s="23"/>
    </row>
    <row r="197" customFormat="false" ht="15" hidden="false" customHeight="false" outlineLevel="0" collapsed="false">
      <c r="H197" s="23"/>
      <c r="I197" s="23"/>
    </row>
    <row r="198" customFormat="false" ht="15" hidden="false" customHeight="false" outlineLevel="0" collapsed="false">
      <c r="H198" s="23"/>
      <c r="I198" s="23"/>
    </row>
    <row r="199" customFormat="false" ht="15" hidden="false" customHeight="false" outlineLevel="0" collapsed="false">
      <c r="H199" s="23"/>
      <c r="I199" s="23"/>
    </row>
    <row r="200" customFormat="false" ht="15" hidden="false" customHeight="false" outlineLevel="0" collapsed="false">
      <c r="H200" s="23"/>
      <c r="I200" s="23"/>
    </row>
  </sheetData>
  <autoFilter ref="A1:M16"/>
  <conditionalFormatting sqref="F2:F1000">
    <cfRule type="cellIs" priority="2" operator="equal" aboveAverage="0" equalAverage="0" bottom="0" percent="0" rank="0" text="" dxfId="11">
      <formula>"onderbouwd"</formula>
    </cfRule>
    <cfRule type="cellIs" priority="3" operator="equal" aboveAverage="0" equalAverage="0" bottom="0" percent="0" rank="0" text="" dxfId="12">
      <formula>"deels onderbouwd"</formula>
    </cfRule>
    <cfRule type="cellIs" priority="4" operator="equal" aboveAverage="0" equalAverage="0" bottom="0" percent="0" rank="0" text="" dxfId="13">
      <formula>"open punt"</formula>
    </cfRule>
    <cfRule type="cellIs" priority="5" operator="equal" aboveAverage="0" equalAverage="0" bottom="0" percent="0" rank="0" text="" dxfId="14">
      <formula>"nee met uitleg"</formula>
    </cfRule>
    <cfRule type="cellIs" priority="6" operator="equal" aboveAverage="0" equalAverage="0" bottom="0" percent="0" rank="0" text="" dxfId="15">
      <formula>"n.v.t."</formula>
    </cfRule>
  </conditionalFormatting>
  <conditionalFormatting sqref="I2:I1000">
    <cfRule type="expression" priority="7" aboveAverage="0" equalAverage="0" bottom="0" percent="0" rank="0" text="" dxfId="16">
      <formula>AND(ISNUMBER(I2),I2&lt;TODAY())</formula>
    </cfRule>
  </conditionalFormatting>
  <dataValidations count="4">
    <dataValidation allowBlank="true" error="Kies een waarde uit de lijst." errorStyle="stop" errorTitle="Kies uit de lijst" operator="between" showDropDown="false" showErrorMessage="true" showInputMessage="false" sqref="D2:D1000" type="list">
      <formula1>"ja,nee,deels,beschreven,n.v.t."</formula1>
      <formula2>0</formula2>
    </dataValidation>
    <dataValidation allowBlank="true" error="Kies een waarde uit de lijst." errorStyle="stop" errorTitle="Kies uit de lijst" operator="between" showDropDown="false" showErrorMessage="true" showInputMessage="false" sqref="F2:F1000" type="list">
      <formula1>"onderbouwd,deels onderbouwd,open punt,nee met uitleg,n.v.t."</formula1>
      <formula2>0</formula2>
    </dataValidation>
    <dataValidation allowBlank="true" error="Vul een datum in, bijv. 2026-10-31." errorStyle="stop" errorTitle="Datum" operator="greaterThan" showDropDown="false" showErrorMessage="true" showInputMessage="false" sqref="H2:H1000" type="date">
      <formula1>DATE(2000,1,1)</formula1>
      <formula2>0</formula2>
    </dataValidation>
    <dataValidation allowBlank="true" error="Vul een datum in, bijv. 2026-10-31." errorStyle="stop" errorTitle="Datum" operator="greaterThan" showDropDown="false" showErrorMessage="true" showInputMessage="false" sqref="I2:I100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22"/>
    <col collapsed="false" customWidth="true" hidden="false" outlineLevel="0" max="9" min="9" style="0" width="14"/>
    <col collapsed="false" customWidth="true" hidden="false" outlineLevel="0" max="10" min="10" style="0" width="12"/>
    <col collapsed="false" customWidth="true" hidden="false" outlineLevel="0" max="11" min="11" style="0" width="30"/>
    <col collapsed="false" customWidth="true" hidden="false" outlineLevel="0" max="12" min="12" style="0" width="13"/>
    <col collapsed="false" customWidth="true" hidden="false" outlineLevel="0" max="13" min="13" style="0" width="28"/>
    <col collapsed="false" customWidth="true" hidden="false" outlineLevel="0" max="14" min="14" style="0" width="26"/>
  </cols>
  <sheetData>
    <row r="1" customFormat="false" ht="30" hidden="false" customHeight="true" outlineLevel="0" collapsed="false">
      <c r="A1" s="20" t="s">
        <v>155</v>
      </c>
      <c r="B1" s="20" t="s">
        <v>156</v>
      </c>
      <c r="C1" s="20" t="s">
        <v>157</v>
      </c>
      <c r="D1" s="20" t="s">
        <v>158</v>
      </c>
      <c r="E1" s="20" t="s">
        <v>159</v>
      </c>
      <c r="F1" s="20" t="s">
        <v>160</v>
      </c>
      <c r="G1" s="20" t="s">
        <v>161</v>
      </c>
      <c r="H1" s="20" t="s">
        <v>162</v>
      </c>
      <c r="I1" s="20" t="s">
        <v>163</v>
      </c>
      <c r="J1" s="20" t="s">
        <v>164</v>
      </c>
      <c r="K1" s="20" t="s">
        <v>165</v>
      </c>
      <c r="L1" s="20" t="s">
        <v>166</v>
      </c>
      <c r="M1" s="20" t="s">
        <v>167</v>
      </c>
      <c r="N1" s="20" t="s">
        <v>67</v>
      </c>
    </row>
    <row r="2" customFormat="false" ht="35.05" hidden="false" customHeight="false" outlineLevel="0" collapsed="false">
      <c r="A2" s="21" t="s">
        <v>168</v>
      </c>
      <c r="B2" s="21" t="s">
        <v>169</v>
      </c>
      <c r="C2" s="21" t="s">
        <v>170</v>
      </c>
      <c r="D2" s="24" t="s">
        <v>171</v>
      </c>
      <c r="E2" s="22" t="n">
        <v>46084</v>
      </c>
      <c r="F2" s="21" t="s">
        <v>73</v>
      </c>
      <c r="G2" s="22" t="n">
        <v>46449</v>
      </c>
      <c r="H2" s="21"/>
      <c r="I2" s="21" t="s">
        <v>172</v>
      </c>
      <c r="J2" s="21" t="s">
        <v>173</v>
      </c>
      <c r="K2" s="21" t="s">
        <v>174</v>
      </c>
      <c r="L2" s="21" t="s">
        <v>175</v>
      </c>
      <c r="M2" s="21" t="s">
        <v>176</v>
      </c>
      <c r="N2" s="21" t="s">
        <v>177</v>
      </c>
    </row>
    <row r="3" customFormat="false" ht="15" hidden="false" customHeight="false" outlineLevel="0" collapsed="false">
      <c r="A3" s="21" t="s">
        <v>81</v>
      </c>
      <c r="B3" s="21" t="s">
        <v>178</v>
      </c>
      <c r="C3" s="21" t="s">
        <v>179</v>
      </c>
      <c r="D3" s="24" t="s">
        <v>180</v>
      </c>
      <c r="E3" s="22" t="n">
        <v>46084</v>
      </c>
      <c r="F3" s="21" t="s">
        <v>73</v>
      </c>
      <c r="G3" s="22" t="n">
        <v>46449</v>
      </c>
      <c r="H3" s="21"/>
      <c r="I3" s="21" t="s">
        <v>172</v>
      </c>
      <c r="J3" s="21" t="s">
        <v>173</v>
      </c>
      <c r="K3" s="21" t="s">
        <v>181</v>
      </c>
      <c r="L3" s="21"/>
      <c r="M3" s="21"/>
      <c r="N3" s="21"/>
    </row>
    <row r="4" customFormat="false" ht="15" hidden="false" customHeight="false" outlineLevel="0" collapsed="false">
      <c r="A4" s="21" t="s">
        <v>182</v>
      </c>
      <c r="B4" s="21" t="s">
        <v>183</v>
      </c>
      <c r="C4" s="21" t="s">
        <v>184</v>
      </c>
      <c r="D4" s="24" t="s">
        <v>180</v>
      </c>
      <c r="E4" s="22" t="n">
        <v>46037</v>
      </c>
      <c r="F4" s="21" t="s">
        <v>102</v>
      </c>
      <c r="G4" s="22" t="n">
        <v>46402</v>
      </c>
      <c r="H4" s="21"/>
      <c r="I4" s="21" t="s">
        <v>172</v>
      </c>
      <c r="J4" s="21" t="s">
        <v>173</v>
      </c>
      <c r="K4" s="21" t="s">
        <v>185</v>
      </c>
      <c r="L4" s="21"/>
      <c r="M4" s="21"/>
      <c r="N4" s="21"/>
    </row>
    <row r="5" customFormat="false" ht="15" hidden="false" customHeight="false" outlineLevel="0" collapsed="false">
      <c r="A5" s="21" t="s">
        <v>186</v>
      </c>
      <c r="B5" s="21" t="s">
        <v>187</v>
      </c>
      <c r="C5" s="21" t="s">
        <v>184</v>
      </c>
      <c r="D5" s="24" t="s">
        <v>188</v>
      </c>
      <c r="E5" s="22" t="n">
        <v>46063</v>
      </c>
      <c r="F5" s="21" t="s">
        <v>73</v>
      </c>
      <c r="G5" s="22" t="n">
        <v>46428</v>
      </c>
      <c r="H5" s="21"/>
      <c r="I5" s="21" t="s">
        <v>172</v>
      </c>
      <c r="J5" s="21" t="s">
        <v>173</v>
      </c>
      <c r="K5" s="21" t="s">
        <v>189</v>
      </c>
      <c r="L5" s="21"/>
      <c r="M5" s="21"/>
      <c r="N5" s="21"/>
    </row>
    <row r="6" customFormat="false" ht="15" hidden="false" customHeight="false" outlineLevel="0" collapsed="false">
      <c r="A6" s="21" t="s">
        <v>190</v>
      </c>
      <c r="B6" s="21" t="s">
        <v>191</v>
      </c>
      <c r="C6" s="21" t="s">
        <v>184</v>
      </c>
      <c r="D6" s="24" t="s">
        <v>192</v>
      </c>
      <c r="E6" s="22" t="n">
        <v>46063</v>
      </c>
      <c r="F6" s="21" t="s">
        <v>102</v>
      </c>
      <c r="G6" s="22" t="n">
        <v>46428</v>
      </c>
      <c r="H6" s="21"/>
      <c r="I6" s="21" t="s">
        <v>172</v>
      </c>
      <c r="J6" s="21" t="s">
        <v>173</v>
      </c>
      <c r="K6" s="21" t="s">
        <v>193</v>
      </c>
      <c r="L6" s="21"/>
      <c r="M6" s="21"/>
      <c r="N6" s="21"/>
    </row>
    <row r="7" customFormat="false" ht="15" hidden="false" customHeight="false" outlineLevel="0" collapsed="false">
      <c r="A7" s="21" t="s">
        <v>194</v>
      </c>
      <c r="B7" s="21" t="s">
        <v>195</v>
      </c>
      <c r="C7" s="21" t="s">
        <v>184</v>
      </c>
      <c r="D7" s="24" t="s">
        <v>180</v>
      </c>
      <c r="E7" s="22" t="n">
        <v>46235</v>
      </c>
      <c r="F7" s="21" t="s">
        <v>128</v>
      </c>
      <c r="G7" s="22" t="n">
        <v>46600</v>
      </c>
      <c r="H7" s="21"/>
      <c r="I7" s="21" t="s">
        <v>172</v>
      </c>
      <c r="J7" s="21" t="s">
        <v>173</v>
      </c>
      <c r="K7" s="21" t="s">
        <v>196</v>
      </c>
      <c r="L7" s="21"/>
      <c r="M7" s="21"/>
      <c r="N7" s="21"/>
    </row>
    <row r="8" customFormat="false" ht="35.05" hidden="false" customHeight="false" outlineLevel="0" collapsed="false">
      <c r="A8" s="21" t="s">
        <v>197</v>
      </c>
      <c r="B8" s="21" t="s">
        <v>198</v>
      </c>
      <c r="C8" s="21" t="s">
        <v>184</v>
      </c>
      <c r="D8" s="24" t="s">
        <v>199</v>
      </c>
      <c r="E8" s="22" t="n">
        <v>46084</v>
      </c>
      <c r="F8" s="21" t="s">
        <v>73</v>
      </c>
      <c r="G8" s="22" t="n">
        <v>46449</v>
      </c>
      <c r="H8" s="21"/>
      <c r="I8" s="21" t="s">
        <v>172</v>
      </c>
      <c r="J8" s="21" t="s">
        <v>173</v>
      </c>
      <c r="K8" s="21" t="s">
        <v>200</v>
      </c>
      <c r="L8" s="21" t="s">
        <v>175</v>
      </c>
      <c r="M8" s="21" t="s">
        <v>201</v>
      </c>
      <c r="N8" s="21" t="s">
        <v>177</v>
      </c>
    </row>
    <row r="9" customFormat="false" ht="15" hidden="false" customHeight="false" outlineLevel="0" collapsed="false">
      <c r="A9" s="21" t="s">
        <v>202</v>
      </c>
      <c r="B9" s="21" t="s">
        <v>203</v>
      </c>
      <c r="C9" s="21" t="s">
        <v>179</v>
      </c>
      <c r="D9" s="24" t="s">
        <v>204</v>
      </c>
      <c r="E9" s="22" t="n">
        <v>46185</v>
      </c>
      <c r="F9" s="21" t="s">
        <v>73</v>
      </c>
      <c r="G9" s="22" t="n">
        <v>46550</v>
      </c>
      <c r="H9" s="21"/>
      <c r="I9" s="21" t="s">
        <v>205</v>
      </c>
      <c r="J9" s="21" t="s">
        <v>173</v>
      </c>
      <c r="K9" s="21" t="s">
        <v>206</v>
      </c>
      <c r="L9" s="21"/>
      <c r="M9" s="21"/>
      <c r="N9" s="21"/>
    </row>
    <row r="10" customFormat="false" ht="15" hidden="false" customHeight="false" outlineLevel="0" collapsed="false">
      <c r="A10" s="21" t="s">
        <v>207</v>
      </c>
      <c r="B10" s="21" t="s">
        <v>208</v>
      </c>
      <c r="C10" s="21" t="s">
        <v>184</v>
      </c>
      <c r="D10" s="24" t="s">
        <v>180</v>
      </c>
      <c r="E10" s="22" t="n">
        <v>46132</v>
      </c>
      <c r="F10" s="21" t="s">
        <v>73</v>
      </c>
      <c r="G10" s="22" t="n">
        <v>46497</v>
      </c>
      <c r="H10" s="21"/>
      <c r="I10" s="21" t="s">
        <v>172</v>
      </c>
      <c r="J10" s="21" t="s">
        <v>173</v>
      </c>
      <c r="K10" s="21" t="s">
        <v>209</v>
      </c>
      <c r="L10" s="21"/>
      <c r="M10" s="21"/>
      <c r="N10" s="21"/>
    </row>
    <row r="11" customFormat="false" ht="15" hidden="false" customHeight="false" outlineLevel="0" collapsed="false">
      <c r="A11" s="21" t="s">
        <v>97</v>
      </c>
      <c r="B11" s="21" t="s">
        <v>210</v>
      </c>
      <c r="C11" s="21" t="s">
        <v>211</v>
      </c>
      <c r="D11" s="24" t="s">
        <v>212</v>
      </c>
      <c r="E11" s="22" t="n">
        <v>46204</v>
      </c>
      <c r="F11" s="21" t="s">
        <v>73</v>
      </c>
      <c r="G11" s="22" t="n">
        <v>46402</v>
      </c>
      <c r="H11" s="21"/>
      <c r="I11" s="21" t="s">
        <v>205</v>
      </c>
      <c r="J11" s="21" t="s">
        <v>173</v>
      </c>
      <c r="K11" s="21" t="s">
        <v>213</v>
      </c>
      <c r="L11" s="21"/>
      <c r="M11" s="21"/>
      <c r="N11" s="21"/>
    </row>
    <row r="12" customFormat="false" ht="15" hidden="false" customHeight="false" outlineLevel="0" collapsed="false">
      <c r="A12" s="21" t="s">
        <v>214</v>
      </c>
      <c r="B12" s="21" t="s">
        <v>215</v>
      </c>
      <c r="C12" s="21" t="s">
        <v>211</v>
      </c>
      <c r="D12" s="24" t="s">
        <v>216</v>
      </c>
      <c r="E12" s="22" t="n">
        <v>46295</v>
      </c>
      <c r="F12" s="21" t="s">
        <v>102</v>
      </c>
      <c r="G12" s="22" t="n">
        <v>46387</v>
      </c>
      <c r="H12" s="21"/>
      <c r="I12" s="21" t="s">
        <v>217</v>
      </c>
      <c r="J12" s="21" t="s">
        <v>173</v>
      </c>
      <c r="K12" s="21" t="s">
        <v>218</v>
      </c>
      <c r="L12" s="21"/>
      <c r="M12" s="21"/>
      <c r="N12" s="21"/>
    </row>
    <row r="13" customFormat="false" ht="15" hidden="false" customHeight="false" outlineLevel="0" collapsed="false">
      <c r="A13" s="21" t="s">
        <v>219</v>
      </c>
      <c r="B13" s="21" t="s">
        <v>220</v>
      </c>
      <c r="C13" s="21" t="s">
        <v>211</v>
      </c>
      <c r="D13" s="24" t="s">
        <v>216</v>
      </c>
      <c r="E13" s="22" t="n">
        <v>46280</v>
      </c>
      <c r="F13" s="21" t="s">
        <v>128</v>
      </c>
      <c r="G13" s="22" t="n">
        <v>46371</v>
      </c>
      <c r="H13" s="21"/>
      <c r="I13" s="21" t="s">
        <v>205</v>
      </c>
      <c r="J13" s="21" t="s">
        <v>173</v>
      </c>
      <c r="K13" s="21" t="s">
        <v>221</v>
      </c>
      <c r="L13" s="21"/>
      <c r="M13" s="21"/>
      <c r="N13" s="21"/>
    </row>
    <row r="14" customFormat="false" ht="15" hidden="false" customHeight="false" outlineLevel="0" collapsed="false">
      <c r="A14" s="21" t="s">
        <v>222</v>
      </c>
      <c r="B14" s="21" t="s">
        <v>223</v>
      </c>
      <c r="C14" s="21" t="s">
        <v>211</v>
      </c>
      <c r="D14" s="24" t="s">
        <v>216</v>
      </c>
      <c r="E14" s="22" t="n">
        <v>46270</v>
      </c>
      <c r="F14" s="21" t="s">
        <v>73</v>
      </c>
      <c r="G14" s="22" t="n">
        <v>46361</v>
      </c>
      <c r="H14" s="21"/>
      <c r="I14" s="21" t="s">
        <v>172</v>
      </c>
      <c r="J14" s="21" t="s">
        <v>173</v>
      </c>
      <c r="K14" s="21" t="s">
        <v>224</v>
      </c>
      <c r="L14" s="21"/>
      <c r="M14" s="21"/>
      <c r="N14" s="21"/>
    </row>
    <row r="15" customFormat="false" ht="23.85" hidden="false" customHeight="false" outlineLevel="0" collapsed="false">
      <c r="A15" s="21" t="s">
        <v>225</v>
      </c>
      <c r="B15" s="21" t="s">
        <v>226</v>
      </c>
      <c r="C15" s="21" t="s">
        <v>211</v>
      </c>
      <c r="D15" s="24" t="s">
        <v>227</v>
      </c>
      <c r="E15" s="22" t="n">
        <v>46263</v>
      </c>
      <c r="F15" s="21" t="s">
        <v>102</v>
      </c>
      <c r="G15" s="22" t="n">
        <v>46446</v>
      </c>
      <c r="H15" s="21"/>
      <c r="I15" s="21" t="s">
        <v>205</v>
      </c>
      <c r="J15" s="21" t="s">
        <v>173</v>
      </c>
      <c r="K15" s="21" t="s">
        <v>228</v>
      </c>
      <c r="L15" s="21"/>
      <c r="M15" s="21"/>
      <c r="N15" s="21"/>
    </row>
    <row r="16" customFormat="false" ht="23.85" hidden="false" customHeight="false" outlineLevel="0" collapsed="false">
      <c r="A16" s="21" t="s">
        <v>108</v>
      </c>
      <c r="B16" s="21" t="s">
        <v>229</v>
      </c>
      <c r="C16" s="21" t="s">
        <v>179</v>
      </c>
      <c r="D16" s="24" t="s">
        <v>230</v>
      </c>
      <c r="E16" s="22" t="n">
        <v>46143</v>
      </c>
      <c r="F16" s="21" t="s">
        <v>102</v>
      </c>
      <c r="G16" s="22" t="n">
        <v>46508</v>
      </c>
      <c r="H16" s="21"/>
      <c r="I16" s="21" t="s">
        <v>231</v>
      </c>
      <c r="J16" s="21" t="s">
        <v>173</v>
      </c>
      <c r="K16" s="21" t="s">
        <v>232</v>
      </c>
      <c r="L16" s="21"/>
      <c r="M16" s="21"/>
      <c r="N16" s="21"/>
    </row>
    <row r="17" customFormat="false" ht="23.85" hidden="false" customHeight="false" outlineLevel="0" collapsed="false">
      <c r="A17" s="21" t="s">
        <v>233</v>
      </c>
      <c r="B17" s="21" t="s">
        <v>234</v>
      </c>
      <c r="C17" s="21" t="s">
        <v>235</v>
      </c>
      <c r="D17" s="24" t="s">
        <v>236</v>
      </c>
      <c r="E17" s="22" t="n">
        <v>46032</v>
      </c>
      <c r="F17" s="21" t="s">
        <v>80</v>
      </c>
      <c r="G17" s="22" t="n">
        <v>46397</v>
      </c>
      <c r="H17" s="21"/>
      <c r="I17" s="21" t="s">
        <v>172</v>
      </c>
      <c r="J17" s="21" t="s">
        <v>173</v>
      </c>
      <c r="K17" s="21" t="s">
        <v>237</v>
      </c>
      <c r="L17" s="21"/>
      <c r="M17" s="21"/>
      <c r="N17" s="21"/>
    </row>
    <row r="18" customFormat="false" ht="23.85" hidden="false" customHeight="false" outlineLevel="0" collapsed="false">
      <c r="A18" s="21" t="s">
        <v>238</v>
      </c>
      <c r="B18" s="21" t="s">
        <v>239</v>
      </c>
      <c r="C18" s="21" t="s">
        <v>235</v>
      </c>
      <c r="D18" s="24" t="s">
        <v>240</v>
      </c>
      <c r="E18" s="22" t="n">
        <v>46101</v>
      </c>
      <c r="F18" s="21" t="s">
        <v>80</v>
      </c>
      <c r="G18" s="22" t="n">
        <v>46466</v>
      </c>
      <c r="H18" s="21"/>
      <c r="I18" s="21" t="s">
        <v>217</v>
      </c>
      <c r="J18" s="21" t="s">
        <v>173</v>
      </c>
      <c r="K18" s="21" t="s">
        <v>241</v>
      </c>
      <c r="L18" s="21"/>
      <c r="M18" s="21"/>
      <c r="N18" s="21"/>
    </row>
    <row r="19" customFormat="false" ht="35.05" hidden="false" customHeight="false" outlineLevel="0" collapsed="false">
      <c r="A19" s="21" t="s">
        <v>242</v>
      </c>
      <c r="B19" s="21" t="s">
        <v>243</v>
      </c>
      <c r="C19" s="21" t="s">
        <v>244</v>
      </c>
      <c r="D19" s="24" t="s">
        <v>245</v>
      </c>
      <c r="E19" s="22" t="n">
        <v>46170</v>
      </c>
      <c r="F19" s="21" t="s">
        <v>73</v>
      </c>
      <c r="G19" s="22" t="n">
        <v>46535</v>
      </c>
      <c r="H19" s="21"/>
      <c r="I19" s="21" t="s">
        <v>205</v>
      </c>
      <c r="J19" s="21" t="s">
        <v>173</v>
      </c>
      <c r="K19" s="21" t="s">
        <v>246</v>
      </c>
      <c r="L19" s="21" t="s">
        <v>175</v>
      </c>
      <c r="M19" s="21" t="s">
        <v>247</v>
      </c>
      <c r="N19" s="21" t="s">
        <v>177</v>
      </c>
    </row>
    <row r="20" customFormat="false" ht="23.85" hidden="false" customHeight="false" outlineLevel="0" collapsed="false">
      <c r="A20" s="21" t="s">
        <v>248</v>
      </c>
      <c r="B20" s="21" t="s">
        <v>249</v>
      </c>
      <c r="C20" s="21" t="s">
        <v>250</v>
      </c>
      <c r="D20" s="24" t="s">
        <v>251</v>
      </c>
      <c r="E20" s="22" t="n">
        <v>46275</v>
      </c>
      <c r="F20" s="21" t="s">
        <v>73</v>
      </c>
      <c r="G20" s="22" t="n">
        <v>46456</v>
      </c>
      <c r="H20" s="21" t="s">
        <v>252</v>
      </c>
      <c r="I20" s="21" t="s">
        <v>205</v>
      </c>
      <c r="J20" s="21" t="s">
        <v>173</v>
      </c>
      <c r="K20" s="21" t="s">
        <v>253</v>
      </c>
      <c r="L20" s="21"/>
      <c r="M20" s="21"/>
      <c r="N20" s="21"/>
    </row>
    <row r="21" customFormat="false" ht="23.85" hidden="false" customHeight="false" outlineLevel="0" collapsed="false">
      <c r="A21" s="21" t="s">
        <v>254</v>
      </c>
      <c r="B21" s="21" t="s">
        <v>255</v>
      </c>
      <c r="C21" s="21" t="s">
        <v>256</v>
      </c>
      <c r="D21" s="24" t="s">
        <v>216</v>
      </c>
      <c r="E21" s="22" t="n">
        <v>46295</v>
      </c>
      <c r="F21" s="21" t="s">
        <v>128</v>
      </c>
      <c r="G21" s="22" t="n">
        <v>46387</v>
      </c>
      <c r="H21" s="21"/>
      <c r="I21" s="21" t="s">
        <v>205</v>
      </c>
      <c r="J21" s="21" t="s">
        <v>173</v>
      </c>
      <c r="K21" s="21" t="s">
        <v>257</v>
      </c>
      <c r="L21" s="21"/>
      <c r="M21" s="21"/>
      <c r="N21" s="21"/>
    </row>
    <row r="22" customFormat="false" ht="15" hidden="false" customHeight="false" outlineLevel="0" collapsed="false">
      <c r="A22" s="21" t="s">
        <v>258</v>
      </c>
      <c r="B22" s="21" t="s">
        <v>259</v>
      </c>
      <c r="C22" s="21" t="s">
        <v>244</v>
      </c>
      <c r="D22" s="24" t="s">
        <v>227</v>
      </c>
      <c r="E22" s="22" t="n">
        <v>46248</v>
      </c>
      <c r="F22" s="21" t="s">
        <v>128</v>
      </c>
      <c r="G22" s="22" t="n">
        <v>46432</v>
      </c>
      <c r="H22" s="21"/>
      <c r="I22" s="21" t="s">
        <v>172</v>
      </c>
      <c r="J22" s="21" t="s">
        <v>173</v>
      </c>
      <c r="K22" s="21" t="s">
        <v>260</v>
      </c>
      <c r="L22" s="21"/>
      <c r="M22" s="21"/>
      <c r="N22" s="21"/>
    </row>
    <row r="23" customFormat="false" ht="23.85" hidden="false" customHeight="false" outlineLevel="0" collapsed="false">
      <c r="A23" s="21" t="s">
        <v>261</v>
      </c>
      <c r="B23" s="21" t="s">
        <v>262</v>
      </c>
      <c r="C23" s="21" t="s">
        <v>179</v>
      </c>
      <c r="D23" s="24" t="s">
        <v>263</v>
      </c>
      <c r="E23" s="22" t="n">
        <v>46218</v>
      </c>
      <c r="F23" s="21" t="s">
        <v>264</v>
      </c>
      <c r="G23" s="22" t="n">
        <v>46402</v>
      </c>
      <c r="H23" s="21"/>
      <c r="I23" s="21" t="s">
        <v>231</v>
      </c>
      <c r="J23" s="21" t="s">
        <v>173</v>
      </c>
      <c r="K23" s="21" t="s">
        <v>265</v>
      </c>
      <c r="L23" s="21"/>
      <c r="M23" s="21"/>
      <c r="N23" s="21"/>
    </row>
    <row r="24" customFormat="false" ht="15" hidden="false" customHeight="false" outlineLevel="0" collapsed="false">
      <c r="D24" s="25"/>
      <c r="E24" s="23"/>
      <c r="G24" s="23"/>
    </row>
    <row r="25" customFormat="false" ht="15" hidden="false" customHeight="false" outlineLevel="0" collapsed="false">
      <c r="D25" s="25"/>
      <c r="E25" s="23"/>
      <c r="G25" s="23"/>
    </row>
    <row r="26" customFormat="false" ht="15" hidden="false" customHeight="false" outlineLevel="0" collapsed="false">
      <c r="D26" s="25"/>
      <c r="E26" s="23"/>
      <c r="G26" s="23"/>
    </row>
    <row r="27" customFormat="false" ht="15" hidden="false" customHeight="false" outlineLevel="0" collapsed="false">
      <c r="D27" s="25"/>
      <c r="E27" s="23"/>
      <c r="G27" s="23"/>
    </row>
    <row r="28" customFormat="false" ht="15" hidden="false" customHeight="false" outlineLevel="0" collapsed="false">
      <c r="D28" s="25"/>
      <c r="E28" s="23"/>
      <c r="G28" s="23"/>
    </row>
    <row r="29" customFormat="false" ht="15" hidden="false" customHeight="false" outlineLevel="0" collapsed="false">
      <c r="D29" s="25"/>
      <c r="E29" s="23"/>
      <c r="G29" s="23"/>
    </row>
    <row r="30" customFormat="false" ht="15" hidden="false" customHeight="false" outlineLevel="0" collapsed="false">
      <c r="D30" s="25"/>
      <c r="E30" s="23"/>
      <c r="G30" s="23"/>
    </row>
    <row r="31" customFormat="false" ht="15" hidden="false" customHeight="false" outlineLevel="0" collapsed="false">
      <c r="D31" s="25"/>
      <c r="E31" s="23"/>
      <c r="G31" s="23"/>
    </row>
    <row r="32" customFormat="false" ht="15" hidden="false" customHeight="false" outlineLevel="0" collapsed="false">
      <c r="D32" s="25"/>
      <c r="E32" s="23"/>
      <c r="G32" s="23"/>
    </row>
    <row r="33" customFormat="false" ht="15" hidden="false" customHeight="false" outlineLevel="0" collapsed="false">
      <c r="D33" s="25"/>
      <c r="E33" s="23"/>
      <c r="G33" s="23"/>
    </row>
    <row r="34" customFormat="false" ht="15" hidden="false" customHeight="false" outlineLevel="0" collapsed="false">
      <c r="D34" s="25"/>
      <c r="E34" s="23"/>
      <c r="G34" s="23"/>
    </row>
    <row r="35" customFormat="false" ht="15" hidden="false" customHeight="false" outlineLevel="0" collapsed="false">
      <c r="D35" s="25"/>
      <c r="E35" s="23"/>
      <c r="G35" s="23"/>
    </row>
    <row r="36" customFormat="false" ht="15" hidden="false" customHeight="false" outlineLevel="0" collapsed="false">
      <c r="D36" s="25"/>
      <c r="E36" s="23"/>
      <c r="G36" s="23"/>
    </row>
    <row r="37" customFormat="false" ht="15" hidden="false" customHeight="false" outlineLevel="0" collapsed="false">
      <c r="D37" s="25"/>
      <c r="E37" s="23"/>
      <c r="G37" s="23"/>
    </row>
    <row r="38" customFormat="false" ht="15" hidden="false" customHeight="false" outlineLevel="0" collapsed="false">
      <c r="D38" s="25"/>
      <c r="E38" s="23"/>
      <c r="G38" s="23"/>
    </row>
    <row r="39" customFormat="false" ht="15" hidden="false" customHeight="false" outlineLevel="0" collapsed="false">
      <c r="D39" s="25"/>
      <c r="E39" s="23"/>
      <c r="G39" s="23"/>
    </row>
    <row r="40" customFormat="false" ht="15" hidden="false" customHeight="false" outlineLevel="0" collapsed="false">
      <c r="D40" s="25"/>
      <c r="E40" s="23"/>
      <c r="G40" s="23"/>
    </row>
    <row r="41" customFormat="false" ht="15" hidden="false" customHeight="false" outlineLevel="0" collapsed="false">
      <c r="D41" s="25"/>
      <c r="E41" s="23"/>
      <c r="G41" s="23"/>
    </row>
    <row r="42" customFormat="false" ht="15" hidden="false" customHeight="false" outlineLevel="0" collapsed="false">
      <c r="D42" s="25"/>
      <c r="E42" s="23"/>
      <c r="G42" s="23"/>
    </row>
    <row r="43" customFormat="false" ht="15" hidden="false" customHeight="false" outlineLevel="0" collapsed="false">
      <c r="D43" s="25"/>
      <c r="E43" s="23"/>
      <c r="G43" s="23"/>
    </row>
    <row r="44" customFormat="false" ht="15" hidden="false" customHeight="false" outlineLevel="0" collapsed="false">
      <c r="D44" s="25"/>
      <c r="E44" s="23"/>
      <c r="G44" s="23"/>
    </row>
    <row r="45" customFormat="false" ht="15" hidden="false" customHeight="false" outlineLevel="0" collapsed="false">
      <c r="D45" s="25"/>
      <c r="E45" s="23"/>
      <c r="G45" s="23"/>
    </row>
    <row r="46" customFormat="false" ht="15" hidden="false" customHeight="false" outlineLevel="0" collapsed="false">
      <c r="D46" s="25"/>
      <c r="E46" s="23"/>
      <c r="G46" s="23"/>
    </row>
    <row r="47" customFormat="false" ht="15" hidden="false" customHeight="false" outlineLevel="0" collapsed="false">
      <c r="D47" s="25"/>
      <c r="E47" s="23"/>
      <c r="G47" s="23"/>
    </row>
    <row r="48" customFormat="false" ht="15" hidden="false" customHeight="false" outlineLevel="0" collapsed="false">
      <c r="D48" s="25"/>
      <c r="E48" s="23"/>
      <c r="G48" s="23"/>
    </row>
    <row r="49" customFormat="false" ht="15" hidden="false" customHeight="false" outlineLevel="0" collapsed="false">
      <c r="D49" s="25"/>
      <c r="E49" s="23"/>
      <c r="G49" s="23"/>
    </row>
    <row r="50" customFormat="false" ht="15" hidden="false" customHeight="false" outlineLevel="0" collapsed="false">
      <c r="D50" s="25"/>
      <c r="E50" s="23"/>
      <c r="G50" s="23"/>
    </row>
    <row r="51" customFormat="false" ht="15" hidden="false" customHeight="false" outlineLevel="0" collapsed="false">
      <c r="D51" s="25"/>
      <c r="E51" s="23"/>
      <c r="G51" s="23"/>
    </row>
    <row r="52" customFormat="false" ht="15" hidden="false" customHeight="false" outlineLevel="0" collapsed="false">
      <c r="D52" s="25"/>
      <c r="E52" s="23"/>
      <c r="G52" s="23"/>
    </row>
    <row r="53" customFormat="false" ht="15" hidden="false" customHeight="false" outlineLevel="0" collapsed="false">
      <c r="D53" s="25"/>
      <c r="E53" s="23"/>
      <c r="G53" s="23"/>
    </row>
    <row r="54" customFormat="false" ht="15" hidden="false" customHeight="false" outlineLevel="0" collapsed="false">
      <c r="D54" s="25"/>
      <c r="E54" s="23"/>
      <c r="G54" s="23"/>
    </row>
    <row r="55" customFormat="false" ht="15" hidden="false" customHeight="false" outlineLevel="0" collapsed="false">
      <c r="D55" s="25"/>
      <c r="E55" s="23"/>
      <c r="G55" s="23"/>
    </row>
    <row r="56" customFormat="false" ht="15" hidden="false" customHeight="false" outlineLevel="0" collapsed="false">
      <c r="D56" s="25"/>
      <c r="E56" s="23"/>
      <c r="G56" s="23"/>
    </row>
    <row r="57" customFormat="false" ht="15" hidden="false" customHeight="false" outlineLevel="0" collapsed="false">
      <c r="D57" s="25"/>
      <c r="E57" s="23"/>
      <c r="G57" s="23"/>
    </row>
    <row r="58" customFormat="false" ht="15" hidden="false" customHeight="false" outlineLevel="0" collapsed="false">
      <c r="D58" s="25"/>
      <c r="E58" s="23"/>
      <c r="G58" s="23"/>
    </row>
    <row r="59" customFormat="false" ht="15" hidden="false" customHeight="false" outlineLevel="0" collapsed="false">
      <c r="D59" s="25"/>
      <c r="E59" s="23"/>
      <c r="G59" s="23"/>
    </row>
    <row r="60" customFormat="false" ht="15" hidden="false" customHeight="false" outlineLevel="0" collapsed="false">
      <c r="D60" s="25"/>
      <c r="E60" s="23"/>
      <c r="G60" s="23"/>
    </row>
    <row r="61" customFormat="false" ht="15" hidden="false" customHeight="false" outlineLevel="0" collapsed="false">
      <c r="D61" s="25"/>
      <c r="E61" s="23"/>
      <c r="G61" s="23"/>
    </row>
    <row r="62" customFormat="false" ht="15" hidden="false" customHeight="false" outlineLevel="0" collapsed="false">
      <c r="D62" s="25"/>
      <c r="E62" s="23"/>
      <c r="G62" s="23"/>
    </row>
    <row r="63" customFormat="false" ht="15" hidden="false" customHeight="false" outlineLevel="0" collapsed="false">
      <c r="D63" s="25"/>
      <c r="E63" s="23"/>
      <c r="G63" s="23"/>
    </row>
    <row r="64" customFormat="false" ht="15" hidden="false" customHeight="false" outlineLevel="0" collapsed="false">
      <c r="D64" s="25"/>
      <c r="E64" s="23"/>
      <c r="G64" s="23"/>
    </row>
    <row r="65" customFormat="false" ht="15" hidden="false" customHeight="false" outlineLevel="0" collapsed="false">
      <c r="D65" s="25"/>
      <c r="E65" s="23"/>
      <c r="G65" s="23"/>
    </row>
    <row r="66" customFormat="false" ht="15" hidden="false" customHeight="false" outlineLevel="0" collapsed="false">
      <c r="D66" s="25"/>
      <c r="E66" s="23"/>
      <c r="G66" s="23"/>
    </row>
    <row r="67" customFormat="false" ht="15" hidden="false" customHeight="false" outlineLevel="0" collapsed="false">
      <c r="D67" s="25"/>
      <c r="E67" s="23"/>
      <c r="G67" s="23"/>
    </row>
    <row r="68" customFormat="false" ht="15" hidden="false" customHeight="false" outlineLevel="0" collapsed="false">
      <c r="D68" s="25"/>
      <c r="E68" s="23"/>
      <c r="G68" s="23"/>
    </row>
    <row r="69" customFormat="false" ht="15" hidden="false" customHeight="false" outlineLevel="0" collapsed="false">
      <c r="D69" s="25"/>
      <c r="E69" s="23"/>
      <c r="G69" s="23"/>
    </row>
    <row r="70" customFormat="false" ht="15" hidden="false" customHeight="false" outlineLevel="0" collapsed="false">
      <c r="D70" s="25"/>
      <c r="E70" s="23"/>
      <c r="G70" s="23"/>
    </row>
    <row r="71" customFormat="false" ht="15" hidden="false" customHeight="false" outlineLevel="0" collapsed="false">
      <c r="D71" s="25"/>
      <c r="E71" s="23"/>
      <c r="G71" s="23"/>
    </row>
    <row r="72" customFormat="false" ht="15" hidden="false" customHeight="false" outlineLevel="0" collapsed="false">
      <c r="D72" s="25"/>
      <c r="E72" s="23"/>
      <c r="G72" s="23"/>
    </row>
    <row r="73" customFormat="false" ht="15" hidden="false" customHeight="false" outlineLevel="0" collapsed="false">
      <c r="D73" s="25"/>
      <c r="E73" s="23"/>
      <c r="G73" s="23"/>
    </row>
    <row r="74" customFormat="false" ht="15" hidden="false" customHeight="false" outlineLevel="0" collapsed="false">
      <c r="D74" s="25"/>
      <c r="E74" s="23"/>
      <c r="G74" s="23"/>
    </row>
    <row r="75" customFormat="false" ht="15" hidden="false" customHeight="false" outlineLevel="0" collapsed="false">
      <c r="D75" s="25"/>
      <c r="E75" s="23"/>
      <c r="G75" s="23"/>
    </row>
    <row r="76" customFormat="false" ht="15" hidden="false" customHeight="false" outlineLevel="0" collapsed="false">
      <c r="D76" s="25"/>
      <c r="E76" s="23"/>
      <c r="G76" s="23"/>
    </row>
    <row r="77" customFormat="false" ht="15" hidden="false" customHeight="false" outlineLevel="0" collapsed="false">
      <c r="D77" s="25"/>
      <c r="E77" s="23"/>
      <c r="G77" s="23"/>
    </row>
    <row r="78" customFormat="false" ht="15" hidden="false" customHeight="false" outlineLevel="0" collapsed="false">
      <c r="D78" s="25"/>
      <c r="E78" s="23"/>
      <c r="G78" s="23"/>
    </row>
    <row r="79" customFormat="false" ht="15" hidden="false" customHeight="false" outlineLevel="0" collapsed="false">
      <c r="D79" s="25"/>
      <c r="E79" s="23"/>
      <c r="G79" s="23"/>
    </row>
    <row r="80" customFormat="false" ht="15" hidden="false" customHeight="false" outlineLevel="0" collapsed="false">
      <c r="D80" s="25"/>
      <c r="E80" s="23"/>
      <c r="G80" s="23"/>
    </row>
    <row r="81" customFormat="false" ht="15" hidden="false" customHeight="false" outlineLevel="0" collapsed="false">
      <c r="D81" s="25"/>
      <c r="E81" s="23"/>
      <c r="G81" s="23"/>
    </row>
    <row r="82" customFormat="false" ht="15" hidden="false" customHeight="false" outlineLevel="0" collapsed="false">
      <c r="D82" s="25"/>
      <c r="E82" s="23"/>
      <c r="G82" s="23"/>
    </row>
    <row r="83" customFormat="false" ht="15" hidden="false" customHeight="false" outlineLevel="0" collapsed="false">
      <c r="D83" s="25"/>
      <c r="E83" s="23"/>
      <c r="G83" s="23"/>
    </row>
    <row r="84" customFormat="false" ht="15" hidden="false" customHeight="false" outlineLevel="0" collapsed="false">
      <c r="D84" s="25"/>
      <c r="E84" s="23"/>
      <c r="G84" s="23"/>
    </row>
    <row r="85" customFormat="false" ht="15" hidden="false" customHeight="false" outlineLevel="0" collapsed="false">
      <c r="D85" s="25"/>
      <c r="E85" s="23"/>
      <c r="G85" s="23"/>
    </row>
    <row r="86" customFormat="false" ht="15" hidden="false" customHeight="false" outlineLevel="0" collapsed="false">
      <c r="D86" s="25"/>
      <c r="E86" s="23"/>
      <c r="G86" s="23"/>
    </row>
    <row r="87" customFormat="false" ht="15" hidden="false" customHeight="false" outlineLevel="0" collapsed="false">
      <c r="D87" s="25"/>
      <c r="E87" s="23"/>
      <c r="G87" s="23"/>
    </row>
    <row r="88" customFormat="false" ht="15" hidden="false" customHeight="false" outlineLevel="0" collapsed="false">
      <c r="D88" s="25"/>
      <c r="E88" s="23"/>
      <c r="G88" s="23"/>
    </row>
    <row r="89" customFormat="false" ht="15" hidden="false" customHeight="false" outlineLevel="0" collapsed="false">
      <c r="D89" s="25"/>
      <c r="E89" s="23"/>
      <c r="G89" s="23"/>
    </row>
    <row r="90" customFormat="false" ht="15" hidden="false" customHeight="false" outlineLevel="0" collapsed="false">
      <c r="D90" s="25"/>
      <c r="E90" s="23"/>
      <c r="G90" s="23"/>
    </row>
    <row r="91" customFormat="false" ht="15" hidden="false" customHeight="false" outlineLevel="0" collapsed="false">
      <c r="D91" s="25"/>
      <c r="E91" s="23"/>
      <c r="G91" s="23"/>
    </row>
    <row r="92" customFormat="false" ht="15" hidden="false" customHeight="false" outlineLevel="0" collapsed="false">
      <c r="D92" s="25"/>
      <c r="E92" s="23"/>
      <c r="G92" s="23"/>
    </row>
    <row r="93" customFormat="false" ht="15" hidden="false" customHeight="false" outlineLevel="0" collapsed="false">
      <c r="D93" s="25"/>
      <c r="E93" s="23"/>
      <c r="G93" s="23"/>
    </row>
    <row r="94" customFormat="false" ht="15" hidden="false" customHeight="false" outlineLevel="0" collapsed="false">
      <c r="D94" s="25"/>
      <c r="E94" s="23"/>
      <c r="G94" s="23"/>
    </row>
    <row r="95" customFormat="false" ht="15" hidden="false" customHeight="false" outlineLevel="0" collapsed="false">
      <c r="D95" s="25"/>
      <c r="E95" s="23"/>
      <c r="G95" s="23"/>
    </row>
    <row r="96" customFormat="false" ht="15" hidden="false" customHeight="false" outlineLevel="0" collapsed="false">
      <c r="D96" s="25"/>
      <c r="E96" s="23"/>
      <c r="G96" s="23"/>
    </row>
    <row r="97" customFormat="false" ht="15" hidden="false" customHeight="false" outlineLevel="0" collapsed="false">
      <c r="D97" s="25"/>
      <c r="E97" s="23"/>
      <c r="G97" s="23"/>
    </row>
    <row r="98" customFormat="false" ht="15" hidden="false" customHeight="false" outlineLevel="0" collapsed="false">
      <c r="D98" s="25"/>
      <c r="E98" s="23"/>
      <c r="G98" s="23"/>
    </row>
    <row r="99" customFormat="false" ht="15" hidden="false" customHeight="false" outlineLevel="0" collapsed="false">
      <c r="D99" s="25"/>
      <c r="E99" s="23"/>
      <c r="G99" s="23"/>
    </row>
    <row r="100" customFormat="false" ht="15" hidden="false" customHeight="false" outlineLevel="0" collapsed="false">
      <c r="D100" s="25"/>
      <c r="E100" s="23"/>
      <c r="G100" s="23"/>
    </row>
    <row r="101" customFormat="false" ht="15" hidden="false" customHeight="false" outlineLevel="0" collapsed="false">
      <c r="D101" s="25"/>
      <c r="E101" s="23"/>
      <c r="G101" s="23"/>
    </row>
    <row r="102" customFormat="false" ht="15" hidden="false" customHeight="false" outlineLevel="0" collapsed="false">
      <c r="D102" s="25"/>
      <c r="E102" s="23"/>
      <c r="G102" s="23"/>
    </row>
    <row r="103" customFormat="false" ht="15" hidden="false" customHeight="false" outlineLevel="0" collapsed="false">
      <c r="D103" s="25"/>
      <c r="E103" s="23"/>
      <c r="G103" s="23"/>
    </row>
    <row r="104" customFormat="false" ht="15" hidden="false" customHeight="false" outlineLevel="0" collapsed="false">
      <c r="D104" s="25"/>
      <c r="E104" s="23"/>
      <c r="G104" s="23"/>
    </row>
    <row r="105" customFormat="false" ht="15" hidden="false" customHeight="false" outlineLevel="0" collapsed="false">
      <c r="D105" s="25"/>
      <c r="E105" s="23"/>
      <c r="G105" s="23"/>
    </row>
    <row r="106" customFormat="false" ht="15" hidden="false" customHeight="false" outlineLevel="0" collapsed="false">
      <c r="D106" s="25"/>
      <c r="E106" s="23"/>
      <c r="G106" s="23"/>
    </row>
    <row r="107" customFormat="false" ht="15" hidden="false" customHeight="false" outlineLevel="0" collapsed="false">
      <c r="D107" s="25"/>
      <c r="E107" s="23"/>
      <c r="G107" s="23"/>
    </row>
    <row r="108" customFormat="false" ht="15" hidden="false" customHeight="false" outlineLevel="0" collapsed="false">
      <c r="D108" s="25"/>
      <c r="E108" s="23"/>
      <c r="G108" s="23"/>
    </row>
    <row r="109" customFormat="false" ht="15" hidden="false" customHeight="false" outlineLevel="0" collapsed="false">
      <c r="D109" s="25"/>
      <c r="E109" s="23"/>
      <c r="G109" s="23"/>
    </row>
    <row r="110" customFormat="false" ht="15" hidden="false" customHeight="false" outlineLevel="0" collapsed="false">
      <c r="D110" s="25"/>
      <c r="E110" s="23"/>
      <c r="G110" s="23"/>
    </row>
    <row r="111" customFormat="false" ht="15" hidden="false" customHeight="false" outlineLevel="0" collapsed="false">
      <c r="D111" s="25"/>
      <c r="E111" s="23"/>
      <c r="G111" s="23"/>
    </row>
    <row r="112" customFormat="false" ht="15" hidden="false" customHeight="false" outlineLevel="0" collapsed="false">
      <c r="D112" s="25"/>
      <c r="E112" s="23"/>
      <c r="G112" s="23"/>
    </row>
    <row r="113" customFormat="false" ht="15" hidden="false" customHeight="false" outlineLevel="0" collapsed="false">
      <c r="D113" s="25"/>
      <c r="E113" s="23"/>
      <c r="G113" s="23"/>
    </row>
    <row r="114" customFormat="false" ht="15" hidden="false" customHeight="false" outlineLevel="0" collapsed="false">
      <c r="D114" s="25"/>
      <c r="E114" s="23"/>
      <c r="G114" s="23"/>
    </row>
    <row r="115" customFormat="false" ht="15" hidden="false" customHeight="false" outlineLevel="0" collapsed="false">
      <c r="D115" s="25"/>
      <c r="E115" s="23"/>
      <c r="G115" s="23"/>
    </row>
    <row r="116" customFormat="false" ht="15" hidden="false" customHeight="false" outlineLevel="0" collapsed="false">
      <c r="D116" s="25"/>
      <c r="E116" s="23"/>
      <c r="G116" s="23"/>
    </row>
    <row r="117" customFormat="false" ht="15" hidden="false" customHeight="false" outlineLevel="0" collapsed="false">
      <c r="D117" s="25"/>
      <c r="E117" s="23"/>
      <c r="G117" s="23"/>
    </row>
    <row r="118" customFormat="false" ht="15" hidden="false" customHeight="false" outlineLevel="0" collapsed="false">
      <c r="D118" s="25"/>
      <c r="E118" s="23"/>
      <c r="G118" s="23"/>
    </row>
    <row r="119" customFormat="false" ht="15" hidden="false" customHeight="false" outlineLevel="0" collapsed="false">
      <c r="D119" s="25"/>
      <c r="E119" s="23"/>
      <c r="G119" s="23"/>
    </row>
    <row r="120" customFormat="false" ht="15" hidden="false" customHeight="false" outlineLevel="0" collapsed="false">
      <c r="D120" s="25"/>
      <c r="E120" s="23"/>
      <c r="G120" s="23"/>
    </row>
    <row r="121" customFormat="false" ht="15" hidden="false" customHeight="false" outlineLevel="0" collapsed="false">
      <c r="D121" s="25"/>
      <c r="E121" s="23"/>
      <c r="G121" s="23"/>
    </row>
    <row r="122" customFormat="false" ht="15" hidden="false" customHeight="false" outlineLevel="0" collapsed="false">
      <c r="D122" s="25"/>
      <c r="E122" s="23"/>
      <c r="G122" s="23"/>
    </row>
    <row r="123" customFormat="false" ht="15" hidden="false" customHeight="false" outlineLevel="0" collapsed="false">
      <c r="D123" s="25"/>
      <c r="E123" s="23"/>
      <c r="G123" s="23"/>
    </row>
    <row r="124" customFormat="false" ht="15" hidden="false" customHeight="false" outlineLevel="0" collapsed="false">
      <c r="D124" s="25"/>
      <c r="E124" s="23"/>
      <c r="G124" s="23"/>
    </row>
    <row r="125" customFormat="false" ht="15" hidden="false" customHeight="false" outlineLevel="0" collapsed="false">
      <c r="D125" s="25"/>
      <c r="E125" s="23"/>
      <c r="G125" s="23"/>
    </row>
    <row r="126" customFormat="false" ht="15" hidden="false" customHeight="false" outlineLevel="0" collapsed="false">
      <c r="D126" s="25"/>
      <c r="E126" s="23"/>
      <c r="G126" s="23"/>
    </row>
    <row r="127" customFormat="false" ht="15" hidden="false" customHeight="false" outlineLevel="0" collapsed="false">
      <c r="D127" s="25"/>
      <c r="E127" s="23"/>
      <c r="G127" s="23"/>
    </row>
    <row r="128" customFormat="false" ht="15" hidden="false" customHeight="false" outlineLevel="0" collapsed="false">
      <c r="D128" s="25"/>
      <c r="E128" s="23"/>
      <c r="G128" s="23"/>
    </row>
    <row r="129" customFormat="false" ht="15" hidden="false" customHeight="false" outlineLevel="0" collapsed="false">
      <c r="D129" s="25"/>
      <c r="E129" s="23"/>
      <c r="G129" s="23"/>
    </row>
    <row r="130" customFormat="false" ht="15" hidden="false" customHeight="false" outlineLevel="0" collapsed="false">
      <c r="D130" s="25"/>
      <c r="E130" s="23"/>
      <c r="G130" s="23"/>
    </row>
    <row r="131" customFormat="false" ht="15" hidden="false" customHeight="false" outlineLevel="0" collapsed="false">
      <c r="D131" s="25"/>
      <c r="E131" s="23"/>
      <c r="G131" s="23"/>
    </row>
    <row r="132" customFormat="false" ht="15" hidden="false" customHeight="false" outlineLevel="0" collapsed="false">
      <c r="D132" s="25"/>
      <c r="E132" s="23"/>
      <c r="G132" s="23"/>
    </row>
    <row r="133" customFormat="false" ht="15" hidden="false" customHeight="false" outlineLevel="0" collapsed="false">
      <c r="D133" s="25"/>
      <c r="E133" s="23"/>
      <c r="G133" s="23"/>
    </row>
    <row r="134" customFormat="false" ht="15" hidden="false" customHeight="false" outlineLevel="0" collapsed="false">
      <c r="D134" s="25"/>
      <c r="E134" s="23"/>
      <c r="G134" s="23"/>
    </row>
    <row r="135" customFormat="false" ht="15" hidden="false" customHeight="false" outlineLevel="0" collapsed="false">
      <c r="D135" s="25"/>
      <c r="E135" s="23"/>
      <c r="G135" s="23"/>
    </row>
    <row r="136" customFormat="false" ht="15" hidden="false" customHeight="false" outlineLevel="0" collapsed="false">
      <c r="D136" s="25"/>
      <c r="E136" s="23"/>
      <c r="G136" s="23"/>
    </row>
    <row r="137" customFormat="false" ht="15" hidden="false" customHeight="false" outlineLevel="0" collapsed="false">
      <c r="D137" s="25"/>
      <c r="E137" s="23"/>
      <c r="G137" s="23"/>
    </row>
    <row r="138" customFormat="false" ht="15" hidden="false" customHeight="false" outlineLevel="0" collapsed="false">
      <c r="D138" s="25"/>
      <c r="E138" s="23"/>
      <c r="G138" s="23"/>
    </row>
    <row r="139" customFormat="false" ht="15" hidden="false" customHeight="false" outlineLevel="0" collapsed="false">
      <c r="D139" s="25"/>
      <c r="E139" s="23"/>
      <c r="G139" s="23"/>
    </row>
    <row r="140" customFormat="false" ht="15" hidden="false" customHeight="false" outlineLevel="0" collapsed="false">
      <c r="D140" s="25"/>
      <c r="E140" s="23"/>
      <c r="G140" s="23"/>
    </row>
    <row r="141" customFormat="false" ht="15" hidden="false" customHeight="false" outlineLevel="0" collapsed="false">
      <c r="D141" s="25"/>
      <c r="E141" s="23"/>
      <c r="G141" s="23"/>
    </row>
    <row r="142" customFormat="false" ht="15" hidden="false" customHeight="false" outlineLevel="0" collapsed="false">
      <c r="D142" s="25"/>
      <c r="E142" s="23"/>
      <c r="G142" s="23"/>
    </row>
    <row r="143" customFormat="false" ht="15" hidden="false" customHeight="false" outlineLevel="0" collapsed="false">
      <c r="D143" s="25"/>
      <c r="E143" s="23"/>
      <c r="G143" s="23"/>
    </row>
    <row r="144" customFormat="false" ht="15" hidden="false" customHeight="false" outlineLevel="0" collapsed="false">
      <c r="D144" s="25"/>
      <c r="E144" s="23"/>
      <c r="G144" s="23"/>
    </row>
    <row r="145" customFormat="false" ht="15" hidden="false" customHeight="false" outlineLevel="0" collapsed="false">
      <c r="D145" s="25"/>
      <c r="E145" s="23"/>
      <c r="G145" s="23"/>
    </row>
    <row r="146" customFormat="false" ht="15" hidden="false" customHeight="false" outlineLevel="0" collapsed="false">
      <c r="D146" s="25"/>
      <c r="E146" s="23"/>
      <c r="G146" s="23"/>
    </row>
    <row r="147" customFormat="false" ht="15" hidden="false" customHeight="false" outlineLevel="0" collapsed="false">
      <c r="D147" s="25"/>
      <c r="E147" s="23"/>
      <c r="G147" s="23"/>
    </row>
    <row r="148" customFormat="false" ht="15" hidden="false" customHeight="false" outlineLevel="0" collapsed="false">
      <c r="D148" s="25"/>
      <c r="E148" s="23"/>
      <c r="G148" s="23"/>
    </row>
    <row r="149" customFormat="false" ht="15" hidden="false" customHeight="false" outlineLevel="0" collapsed="false">
      <c r="D149" s="25"/>
      <c r="E149" s="23"/>
      <c r="G149" s="23"/>
    </row>
    <row r="150" customFormat="false" ht="15" hidden="false" customHeight="false" outlineLevel="0" collapsed="false">
      <c r="D150" s="25"/>
      <c r="E150" s="23"/>
      <c r="G150" s="23"/>
    </row>
    <row r="151" customFormat="false" ht="15" hidden="false" customHeight="false" outlineLevel="0" collapsed="false">
      <c r="D151" s="25"/>
      <c r="E151" s="23"/>
      <c r="G151" s="23"/>
    </row>
    <row r="152" customFormat="false" ht="15" hidden="false" customHeight="false" outlineLevel="0" collapsed="false">
      <c r="D152" s="25"/>
      <c r="E152" s="23"/>
      <c r="G152" s="23"/>
    </row>
    <row r="153" customFormat="false" ht="15" hidden="false" customHeight="false" outlineLevel="0" collapsed="false">
      <c r="D153" s="25"/>
      <c r="E153" s="23"/>
      <c r="G153" s="23"/>
    </row>
    <row r="154" customFormat="false" ht="15" hidden="false" customHeight="false" outlineLevel="0" collapsed="false">
      <c r="D154" s="25"/>
      <c r="E154" s="23"/>
      <c r="G154" s="23"/>
    </row>
    <row r="155" customFormat="false" ht="15" hidden="false" customHeight="false" outlineLevel="0" collapsed="false">
      <c r="D155" s="25"/>
      <c r="E155" s="23"/>
      <c r="G155" s="23"/>
    </row>
    <row r="156" customFormat="false" ht="15" hidden="false" customHeight="false" outlineLevel="0" collapsed="false">
      <c r="D156" s="25"/>
      <c r="E156" s="23"/>
      <c r="G156" s="23"/>
    </row>
    <row r="157" customFormat="false" ht="15" hidden="false" customHeight="false" outlineLevel="0" collapsed="false">
      <c r="D157" s="25"/>
      <c r="E157" s="23"/>
      <c r="G157" s="23"/>
    </row>
    <row r="158" customFormat="false" ht="15" hidden="false" customHeight="false" outlineLevel="0" collapsed="false">
      <c r="D158" s="25"/>
      <c r="E158" s="23"/>
      <c r="G158" s="23"/>
    </row>
    <row r="159" customFormat="false" ht="15" hidden="false" customHeight="false" outlineLevel="0" collapsed="false">
      <c r="D159" s="25"/>
      <c r="E159" s="23"/>
      <c r="G159" s="23"/>
    </row>
    <row r="160" customFormat="false" ht="15" hidden="false" customHeight="false" outlineLevel="0" collapsed="false">
      <c r="D160" s="25"/>
      <c r="E160" s="23"/>
      <c r="G160" s="23"/>
    </row>
    <row r="161" customFormat="false" ht="15" hidden="false" customHeight="false" outlineLevel="0" collapsed="false">
      <c r="D161" s="25"/>
      <c r="E161" s="23"/>
      <c r="G161" s="23"/>
    </row>
    <row r="162" customFormat="false" ht="15" hidden="false" customHeight="false" outlineLevel="0" collapsed="false">
      <c r="D162" s="25"/>
      <c r="E162" s="23"/>
      <c r="G162" s="23"/>
    </row>
    <row r="163" customFormat="false" ht="15" hidden="false" customHeight="false" outlineLevel="0" collapsed="false">
      <c r="D163" s="25"/>
      <c r="E163" s="23"/>
      <c r="G163" s="23"/>
    </row>
    <row r="164" customFormat="false" ht="15" hidden="false" customHeight="false" outlineLevel="0" collapsed="false">
      <c r="D164" s="25"/>
      <c r="E164" s="23"/>
      <c r="G164" s="23"/>
    </row>
    <row r="165" customFormat="false" ht="15" hidden="false" customHeight="false" outlineLevel="0" collapsed="false">
      <c r="D165" s="25"/>
      <c r="E165" s="23"/>
      <c r="G165" s="23"/>
    </row>
    <row r="166" customFormat="false" ht="15" hidden="false" customHeight="false" outlineLevel="0" collapsed="false">
      <c r="D166" s="25"/>
      <c r="E166" s="23"/>
      <c r="G166" s="23"/>
    </row>
    <row r="167" customFormat="false" ht="15" hidden="false" customHeight="false" outlineLevel="0" collapsed="false">
      <c r="D167" s="25"/>
      <c r="E167" s="23"/>
      <c r="G167" s="23"/>
    </row>
    <row r="168" customFormat="false" ht="15" hidden="false" customHeight="false" outlineLevel="0" collapsed="false">
      <c r="D168" s="25"/>
      <c r="E168" s="23"/>
      <c r="G168" s="23"/>
    </row>
    <row r="169" customFormat="false" ht="15" hidden="false" customHeight="false" outlineLevel="0" collapsed="false">
      <c r="D169" s="25"/>
      <c r="E169" s="23"/>
      <c r="G169" s="23"/>
    </row>
    <row r="170" customFormat="false" ht="15" hidden="false" customHeight="false" outlineLevel="0" collapsed="false">
      <c r="D170" s="25"/>
      <c r="E170" s="23"/>
      <c r="G170" s="23"/>
    </row>
    <row r="171" customFormat="false" ht="15" hidden="false" customHeight="false" outlineLevel="0" collapsed="false">
      <c r="D171" s="25"/>
      <c r="E171" s="23"/>
      <c r="G171" s="23"/>
    </row>
    <row r="172" customFormat="false" ht="15" hidden="false" customHeight="false" outlineLevel="0" collapsed="false">
      <c r="D172" s="25"/>
      <c r="E172" s="23"/>
      <c r="G172" s="23"/>
    </row>
    <row r="173" customFormat="false" ht="15" hidden="false" customHeight="false" outlineLevel="0" collapsed="false">
      <c r="D173" s="25"/>
      <c r="E173" s="23"/>
      <c r="G173" s="23"/>
    </row>
    <row r="174" customFormat="false" ht="15" hidden="false" customHeight="false" outlineLevel="0" collapsed="false">
      <c r="D174" s="25"/>
      <c r="E174" s="23"/>
      <c r="G174" s="23"/>
    </row>
    <row r="175" customFormat="false" ht="15" hidden="false" customHeight="false" outlineLevel="0" collapsed="false">
      <c r="D175" s="25"/>
      <c r="E175" s="23"/>
      <c r="G175" s="23"/>
    </row>
    <row r="176" customFormat="false" ht="15" hidden="false" customHeight="false" outlineLevel="0" collapsed="false">
      <c r="D176" s="25"/>
      <c r="E176" s="23"/>
      <c r="G176" s="23"/>
    </row>
    <row r="177" customFormat="false" ht="15" hidden="false" customHeight="false" outlineLevel="0" collapsed="false">
      <c r="D177" s="25"/>
      <c r="E177" s="23"/>
      <c r="G177" s="23"/>
    </row>
    <row r="178" customFormat="false" ht="15" hidden="false" customHeight="false" outlineLevel="0" collapsed="false">
      <c r="D178" s="25"/>
      <c r="E178" s="23"/>
      <c r="G178" s="23"/>
    </row>
    <row r="179" customFormat="false" ht="15" hidden="false" customHeight="false" outlineLevel="0" collapsed="false">
      <c r="D179" s="25"/>
      <c r="E179" s="23"/>
      <c r="G179" s="23"/>
    </row>
    <row r="180" customFormat="false" ht="15" hidden="false" customHeight="false" outlineLevel="0" collapsed="false">
      <c r="D180" s="25"/>
      <c r="E180" s="23"/>
      <c r="G180" s="23"/>
    </row>
    <row r="181" customFormat="false" ht="15" hidden="false" customHeight="false" outlineLevel="0" collapsed="false">
      <c r="D181" s="25"/>
      <c r="E181" s="23"/>
      <c r="G181" s="23"/>
    </row>
    <row r="182" customFormat="false" ht="15" hidden="false" customHeight="false" outlineLevel="0" collapsed="false">
      <c r="D182" s="25"/>
      <c r="E182" s="23"/>
      <c r="G182" s="23"/>
    </row>
    <row r="183" customFormat="false" ht="15" hidden="false" customHeight="false" outlineLevel="0" collapsed="false">
      <c r="D183" s="25"/>
      <c r="E183" s="23"/>
      <c r="G183" s="23"/>
    </row>
    <row r="184" customFormat="false" ht="15" hidden="false" customHeight="false" outlineLevel="0" collapsed="false">
      <c r="D184" s="25"/>
      <c r="E184" s="23"/>
      <c r="G184" s="23"/>
    </row>
    <row r="185" customFormat="false" ht="15" hidden="false" customHeight="false" outlineLevel="0" collapsed="false">
      <c r="D185" s="25"/>
      <c r="E185" s="23"/>
      <c r="G185" s="23"/>
    </row>
    <row r="186" customFormat="false" ht="15" hidden="false" customHeight="false" outlineLevel="0" collapsed="false">
      <c r="D186" s="25"/>
      <c r="E186" s="23"/>
      <c r="G186" s="23"/>
    </row>
    <row r="187" customFormat="false" ht="15" hidden="false" customHeight="false" outlineLevel="0" collapsed="false">
      <c r="D187" s="25"/>
      <c r="E187" s="23"/>
      <c r="G187" s="23"/>
    </row>
    <row r="188" customFormat="false" ht="15" hidden="false" customHeight="false" outlineLevel="0" collapsed="false">
      <c r="D188" s="25"/>
      <c r="E188" s="23"/>
      <c r="G188" s="23"/>
    </row>
    <row r="189" customFormat="false" ht="15" hidden="false" customHeight="false" outlineLevel="0" collapsed="false">
      <c r="D189" s="25"/>
      <c r="E189" s="23"/>
      <c r="G189" s="23"/>
    </row>
    <row r="190" customFormat="false" ht="15" hidden="false" customHeight="false" outlineLevel="0" collapsed="false">
      <c r="D190" s="25"/>
      <c r="E190" s="23"/>
      <c r="G190" s="23"/>
    </row>
    <row r="191" customFormat="false" ht="15" hidden="false" customHeight="false" outlineLevel="0" collapsed="false">
      <c r="D191" s="25"/>
      <c r="E191" s="23"/>
      <c r="G191" s="23"/>
    </row>
    <row r="192" customFormat="false" ht="15" hidden="false" customHeight="false" outlineLevel="0" collapsed="false">
      <c r="D192" s="25"/>
      <c r="E192" s="23"/>
      <c r="G192" s="23"/>
    </row>
    <row r="193" customFormat="false" ht="15" hidden="false" customHeight="false" outlineLevel="0" collapsed="false">
      <c r="D193" s="25"/>
      <c r="E193" s="23"/>
      <c r="G193" s="23"/>
    </row>
    <row r="194" customFormat="false" ht="15" hidden="false" customHeight="false" outlineLevel="0" collapsed="false">
      <c r="D194" s="25"/>
      <c r="E194" s="23"/>
      <c r="G194" s="23"/>
    </row>
    <row r="195" customFormat="false" ht="15" hidden="false" customHeight="false" outlineLevel="0" collapsed="false">
      <c r="D195" s="25"/>
      <c r="E195" s="23"/>
      <c r="G195" s="23"/>
    </row>
    <row r="196" customFormat="false" ht="15" hidden="false" customHeight="false" outlineLevel="0" collapsed="false">
      <c r="D196" s="25"/>
      <c r="E196" s="23"/>
      <c r="G196" s="23"/>
    </row>
    <row r="197" customFormat="false" ht="15" hidden="false" customHeight="false" outlineLevel="0" collapsed="false">
      <c r="D197" s="25"/>
      <c r="E197" s="23"/>
      <c r="G197" s="23"/>
    </row>
    <row r="198" customFormat="false" ht="15" hidden="false" customHeight="false" outlineLevel="0" collapsed="false">
      <c r="D198" s="25"/>
      <c r="E198" s="23"/>
      <c r="G198" s="23"/>
    </row>
    <row r="199" customFormat="false" ht="15" hidden="false" customHeight="false" outlineLevel="0" collapsed="false">
      <c r="D199" s="25"/>
      <c r="E199" s="23"/>
      <c r="G199" s="23"/>
    </row>
    <row r="200" customFormat="false" ht="15" hidden="false" customHeight="false" outlineLevel="0" collapsed="false">
      <c r="D200" s="25"/>
      <c r="E200" s="23"/>
      <c r="G200" s="23"/>
    </row>
  </sheetData>
  <autoFilter ref="A1:N23"/>
  <conditionalFormatting sqref="G2:G1000">
    <cfRule type="expression" priority="2" aboveAverage="0" equalAverage="0" bottom="0" percent="0" rank="0" text="" dxfId="16">
      <formula>AND(ISNUMBER(G2),G2&lt;TODAY(),J2="actueel")</formula>
    </cfRule>
  </conditionalFormatting>
  <dataValidations count="6">
    <dataValidation allowBlank="true" error="Kies een waarde uit de lijst." errorStyle="stop" errorTitle="Kies uit de lijst" operator="between" showDropDown="false" showErrorMessage="true" showInputMessage="false" sqref="C2:C1000" type="list">
      <formula1>"beleid,procedure,registratie,documentatie,configuratie,systeemexport,schermafdruk,testresultaat,auditrapport,certificaat,contract,overig"</formula1>
      <formula2>0</formula2>
    </dataValidation>
    <dataValidation allowBlank="true" error="Vul een datum in, bijv. 2026-10-31." errorStyle="stop" errorTitle="Datum" operator="greaterThan" showDropDown="false" showErrorMessage="true" showInputMessage="false" sqref="E2:E1000" type="date">
      <formula1>DATE(2000,1,1)</formula1>
      <formula2>0</formula2>
    </dataValidation>
    <dataValidation allowBlank="true" error="Vul een datum in, bijv. 2026-10-31." errorStyle="stop" errorTitle="Datum" operator="greaterThan" showDropDown="false" showErrorMessage="true" showInputMessage="false" sqref="G2:G1000" type="date">
      <formula1>DATE(2000,1,1)</formula1>
      <formula2>0</formula2>
    </dataValidation>
    <dataValidation allowBlank="true" error="Kies een waarde uit de lijst." errorStyle="stop" errorTitle="Kies uit de lijst" operator="between" showDropDown="false" showErrorMessage="true" showInputMessage="false" sqref="I2:I1000" type="list">
      <formula1>"openbaar,op aanvraag,onder NDA,alleen intern"</formula1>
      <formula2>0</formula2>
    </dataValidation>
    <dataValidation allowBlank="true" error="Kies een waarde uit de lijst." errorStyle="stop" errorTitle="Kies uit de lijst" operator="between" showDropDown="false" showErrorMessage="true" showInputMessage="false" sqref="J2:J1000" type="list">
      <formula1>"actueel,concept,vervangen,ingetrokken"</formula1>
      <formula2>0</formula2>
    </dataValidation>
    <dataValidation allowBlank="true" error="Kies een waarde uit de lijst." errorStyle="stop" errorTitle="Kies uit de lijst" operator="between" showDropDown="false" showErrorMessage="true" showInputMessage="false" sqref="L2:L1000" type="list">
      <formula1>"sha256,sha384,sha512"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55"/>
    <col collapsed="false" customWidth="true" hidden="false" outlineLevel="0" max="3" min="3" style="0" width="16"/>
    <col collapsed="false" customWidth="true" hidden="false" outlineLevel="0" max="4" min="4" style="0" width="15"/>
    <col collapsed="false" customWidth="true" hidden="false" outlineLevel="0" max="6" min="5" style="0" width="13"/>
    <col collapsed="false" customWidth="true" hidden="false" outlineLevel="0" max="7" min="7" style="0" width="40"/>
  </cols>
  <sheetData>
    <row r="1" customFormat="false" ht="30" hidden="false" customHeight="true" outlineLevel="0" collapsed="false">
      <c r="A1" s="20" t="s">
        <v>266</v>
      </c>
      <c r="B1" s="20" t="s">
        <v>267</v>
      </c>
      <c r="C1" s="20" t="s">
        <v>268</v>
      </c>
      <c r="D1" s="20" t="s">
        <v>160</v>
      </c>
      <c r="E1" s="20" t="s">
        <v>269</v>
      </c>
      <c r="F1" s="20" t="s">
        <v>164</v>
      </c>
      <c r="G1" s="20" t="s">
        <v>270</v>
      </c>
    </row>
    <row r="2" customFormat="false" ht="23.85" hidden="false" customHeight="false" outlineLevel="0" collapsed="false">
      <c r="A2" s="21" t="s">
        <v>137</v>
      </c>
      <c r="B2" s="21" t="s">
        <v>271</v>
      </c>
      <c r="C2" s="21" t="s">
        <v>132</v>
      </c>
      <c r="D2" s="21" t="s">
        <v>73</v>
      </c>
      <c r="E2" s="22" t="n">
        <v>46477</v>
      </c>
      <c r="F2" s="21" t="s">
        <v>272</v>
      </c>
      <c r="G2" s="21"/>
    </row>
    <row r="3" customFormat="false" ht="23.85" hidden="false" customHeight="false" outlineLevel="0" collapsed="false">
      <c r="A3" s="21" t="s">
        <v>149</v>
      </c>
      <c r="B3" s="21" t="s">
        <v>273</v>
      </c>
      <c r="C3" s="21" t="s">
        <v>144</v>
      </c>
      <c r="D3" s="21" t="s">
        <v>102</v>
      </c>
      <c r="E3" s="22" t="n">
        <v>46374</v>
      </c>
      <c r="F3" s="21" t="s">
        <v>274</v>
      </c>
      <c r="G3" s="21"/>
    </row>
    <row r="4" customFormat="false" ht="23.85" hidden="false" customHeight="false" outlineLevel="0" collapsed="false">
      <c r="A4" s="21" t="s">
        <v>130</v>
      </c>
      <c r="B4" s="21" t="s">
        <v>275</v>
      </c>
      <c r="C4" s="21" t="s">
        <v>124</v>
      </c>
      <c r="D4" s="21" t="s">
        <v>128</v>
      </c>
      <c r="E4" s="22" t="n">
        <v>46356</v>
      </c>
      <c r="F4" s="21" t="s">
        <v>274</v>
      </c>
      <c r="G4" s="21"/>
    </row>
    <row r="5" customFormat="false" ht="15" hidden="false" customHeight="false" outlineLevel="0" collapsed="false">
      <c r="E5" s="23"/>
    </row>
    <row r="6" customFormat="false" ht="15" hidden="false" customHeight="false" outlineLevel="0" collapsed="false">
      <c r="E6" s="23"/>
    </row>
    <row r="7" customFormat="false" ht="15" hidden="false" customHeight="false" outlineLevel="0" collapsed="false">
      <c r="E7" s="23"/>
    </row>
    <row r="8" customFormat="false" ht="15" hidden="false" customHeight="false" outlineLevel="0" collapsed="false">
      <c r="E8" s="23"/>
    </row>
    <row r="9" customFormat="false" ht="15" hidden="false" customHeight="false" outlineLevel="0" collapsed="false">
      <c r="E9" s="23"/>
    </row>
    <row r="10" customFormat="false" ht="15" hidden="false" customHeight="false" outlineLevel="0" collapsed="false">
      <c r="E10" s="23"/>
    </row>
    <row r="11" customFormat="false" ht="15" hidden="false" customHeight="false" outlineLevel="0" collapsed="false">
      <c r="E11" s="23"/>
    </row>
    <row r="12" customFormat="false" ht="15" hidden="false" customHeight="false" outlineLevel="0" collapsed="false">
      <c r="E12" s="23"/>
    </row>
    <row r="13" customFormat="false" ht="15" hidden="false" customHeight="false" outlineLevel="0" collapsed="false">
      <c r="E13" s="23"/>
    </row>
    <row r="14" customFormat="false" ht="15" hidden="false" customHeight="false" outlineLevel="0" collapsed="false">
      <c r="E14" s="23"/>
    </row>
    <row r="15" customFormat="false" ht="15" hidden="false" customHeight="false" outlineLevel="0" collapsed="false">
      <c r="E15" s="23"/>
    </row>
    <row r="16" customFormat="false" ht="15" hidden="false" customHeight="false" outlineLevel="0" collapsed="false">
      <c r="E16" s="23"/>
    </row>
    <row r="17" customFormat="false" ht="15" hidden="false" customHeight="false" outlineLevel="0" collapsed="false">
      <c r="E17" s="23"/>
    </row>
    <row r="18" customFormat="false" ht="15" hidden="false" customHeight="false" outlineLevel="0" collapsed="false">
      <c r="E18" s="23"/>
    </row>
    <row r="19" customFormat="false" ht="15" hidden="false" customHeight="false" outlineLevel="0" collapsed="false">
      <c r="E19" s="23"/>
    </row>
    <row r="20" customFormat="false" ht="15" hidden="false" customHeight="false" outlineLevel="0" collapsed="false">
      <c r="E20" s="23"/>
    </row>
    <row r="21" customFormat="false" ht="15" hidden="false" customHeight="false" outlineLevel="0" collapsed="false">
      <c r="E21" s="23"/>
    </row>
    <row r="22" customFormat="false" ht="15" hidden="false" customHeight="false" outlineLevel="0" collapsed="false">
      <c r="E22" s="23"/>
    </row>
    <row r="23" customFormat="false" ht="15" hidden="false" customHeight="false" outlineLevel="0" collapsed="false">
      <c r="E23" s="23"/>
    </row>
    <row r="24" customFormat="false" ht="15" hidden="false" customHeight="false" outlineLevel="0" collapsed="false">
      <c r="E24" s="23"/>
    </row>
    <row r="25" customFormat="false" ht="15" hidden="false" customHeight="false" outlineLevel="0" collapsed="false">
      <c r="E25" s="23"/>
    </row>
    <row r="26" customFormat="false" ht="15" hidden="false" customHeight="false" outlineLevel="0" collapsed="false">
      <c r="E26" s="23"/>
    </row>
    <row r="27" customFormat="false" ht="15" hidden="false" customHeight="false" outlineLevel="0" collapsed="false">
      <c r="E27" s="23"/>
    </row>
    <row r="28" customFormat="false" ht="15" hidden="false" customHeight="false" outlineLevel="0" collapsed="false">
      <c r="E28" s="23"/>
    </row>
    <row r="29" customFormat="false" ht="15" hidden="false" customHeight="false" outlineLevel="0" collapsed="false">
      <c r="E29" s="23"/>
    </row>
    <row r="30" customFormat="false" ht="15" hidden="false" customHeight="false" outlineLevel="0" collapsed="false">
      <c r="E30" s="23"/>
    </row>
    <row r="31" customFormat="false" ht="15" hidden="false" customHeight="false" outlineLevel="0" collapsed="false">
      <c r="E31" s="23"/>
    </row>
    <row r="32" customFormat="false" ht="15" hidden="false" customHeight="false" outlineLevel="0" collapsed="false">
      <c r="E32" s="23"/>
    </row>
    <row r="33" customFormat="false" ht="15" hidden="false" customHeight="false" outlineLevel="0" collapsed="false">
      <c r="E33" s="23"/>
    </row>
    <row r="34" customFormat="false" ht="15" hidden="false" customHeight="false" outlineLevel="0" collapsed="false">
      <c r="E34" s="23"/>
    </row>
    <row r="35" customFormat="false" ht="15" hidden="false" customHeight="false" outlineLevel="0" collapsed="false">
      <c r="E35" s="23"/>
    </row>
    <row r="36" customFormat="false" ht="15" hidden="false" customHeight="false" outlineLevel="0" collapsed="false">
      <c r="E36" s="23"/>
    </row>
    <row r="37" customFormat="false" ht="15" hidden="false" customHeight="false" outlineLevel="0" collapsed="false">
      <c r="E37" s="23"/>
    </row>
    <row r="38" customFormat="false" ht="15" hidden="false" customHeight="false" outlineLevel="0" collapsed="false">
      <c r="E38" s="23"/>
    </row>
    <row r="39" customFormat="false" ht="15" hidden="false" customHeight="false" outlineLevel="0" collapsed="false">
      <c r="E39" s="23"/>
    </row>
    <row r="40" customFormat="false" ht="15" hidden="false" customHeight="false" outlineLevel="0" collapsed="false">
      <c r="E40" s="23"/>
    </row>
    <row r="41" customFormat="false" ht="15" hidden="false" customHeight="false" outlineLevel="0" collapsed="false">
      <c r="E41" s="23"/>
    </row>
    <row r="42" customFormat="false" ht="15" hidden="false" customHeight="false" outlineLevel="0" collapsed="false">
      <c r="E42" s="23"/>
    </row>
    <row r="43" customFormat="false" ht="15" hidden="false" customHeight="false" outlineLevel="0" collapsed="false">
      <c r="E43" s="23"/>
    </row>
    <row r="44" customFormat="false" ht="15" hidden="false" customHeight="false" outlineLevel="0" collapsed="false">
      <c r="E44" s="23"/>
    </row>
    <row r="45" customFormat="false" ht="15" hidden="false" customHeight="false" outlineLevel="0" collapsed="false">
      <c r="E45" s="23"/>
    </row>
    <row r="46" customFormat="false" ht="15" hidden="false" customHeight="false" outlineLevel="0" collapsed="false">
      <c r="E46" s="23"/>
    </row>
    <row r="47" customFormat="false" ht="15" hidden="false" customHeight="false" outlineLevel="0" collapsed="false">
      <c r="E47" s="23"/>
    </row>
    <row r="48" customFormat="false" ht="15" hidden="false" customHeight="false" outlineLevel="0" collapsed="false">
      <c r="E48" s="23"/>
    </row>
    <row r="49" customFormat="false" ht="15" hidden="false" customHeight="false" outlineLevel="0" collapsed="false">
      <c r="E49" s="23"/>
    </row>
    <row r="50" customFormat="false" ht="15" hidden="false" customHeight="false" outlineLevel="0" collapsed="false">
      <c r="E50" s="23"/>
    </row>
    <row r="51" customFormat="false" ht="15" hidden="false" customHeight="false" outlineLevel="0" collapsed="false">
      <c r="E51" s="23"/>
    </row>
    <row r="52" customFormat="false" ht="15" hidden="false" customHeight="false" outlineLevel="0" collapsed="false">
      <c r="E52" s="23"/>
    </row>
    <row r="53" customFormat="false" ht="15" hidden="false" customHeight="false" outlineLevel="0" collapsed="false">
      <c r="E53" s="23"/>
    </row>
    <row r="54" customFormat="false" ht="15" hidden="false" customHeight="false" outlineLevel="0" collapsed="false">
      <c r="E54" s="23"/>
    </row>
    <row r="55" customFormat="false" ht="15" hidden="false" customHeight="false" outlineLevel="0" collapsed="false">
      <c r="E55" s="23"/>
    </row>
    <row r="56" customFormat="false" ht="15" hidden="false" customHeight="false" outlineLevel="0" collapsed="false">
      <c r="E56" s="23"/>
    </row>
    <row r="57" customFormat="false" ht="15" hidden="false" customHeight="false" outlineLevel="0" collapsed="false">
      <c r="E57" s="23"/>
    </row>
    <row r="58" customFormat="false" ht="15" hidden="false" customHeight="false" outlineLevel="0" collapsed="false">
      <c r="E58" s="23"/>
    </row>
    <row r="59" customFormat="false" ht="15" hidden="false" customHeight="false" outlineLevel="0" collapsed="false">
      <c r="E59" s="23"/>
    </row>
    <row r="60" customFormat="false" ht="15" hidden="false" customHeight="false" outlineLevel="0" collapsed="false">
      <c r="E60" s="23"/>
    </row>
    <row r="61" customFormat="false" ht="15" hidden="false" customHeight="false" outlineLevel="0" collapsed="false">
      <c r="E61" s="23"/>
    </row>
    <row r="62" customFormat="false" ht="15" hidden="false" customHeight="false" outlineLevel="0" collapsed="false">
      <c r="E62" s="23"/>
    </row>
    <row r="63" customFormat="false" ht="15" hidden="false" customHeight="false" outlineLevel="0" collapsed="false">
      <c r="E63" s="23"/>
    </row>
    <row r="64" customFormat="false" ht="15" hidden="false" customHeight="false" outlineLevel="0" collapsed="false">
      <c r="E64" s="23"/>
    </row>
    <row r="65" customFormat="false" ht="15" hidden="false" customHeight="false" outlineLevel="0" collapsed="false">
      <c r="E65" s="23"/>
    </row>
    <row r="66" customFormat="false" ht="15" hidden="false" customHeight="false" outlineLevel="0" collapsed="false">
      <c r="E66" s="23"/>
    </row>
    <row r="67" customFormat="false" ht="15" hidden="false" customHeight="false" outlineLevel="0" collapsed="false">
      <c r="E67" s="23"/>
    </row>
    <row r="68" customFormat="false" ht="15" hidden="false" customHeight="false" outlineLevel="0" collapsed="false">
      <c r="E68" s="23"/>
    </row>
    <row r="69" customFormat="false" ht="15" hidden="false" customHeight="false" outlineLevel="0" collapsed="false">
      <c r="E69" s="23"/>
    </row>
    <row r="70" customFormat="false" ht="15" hidden="false" customHeight="false" outlineLevel="0" collapsed="false">
      <c r="E70" s="23"/>
    </row>
    <row r="71" customFormat="false" ht="15" hidden="false" customHeight="false" outlineLevel="0" collapsed="false">
      <c r="E71" s="23"/>
    </row>
    <row r="72" customFormat="false" ht="15" hidden="false" customHeight="false" outlineLevel="0" collapsed="false">
      <c r="E72" s="23"/>
    </row>
    <row r="73" customFormat="false" ht="15" hidden="false" customHeight="false" outlineLevel="0" collapsed="false">
      <c r="E73" s="23"/>
    </row>
    <row r="74" customFormat="false" ht="15" hidden="false" customHeight="false" outlineLevel="0" collapsed="false">
      <c r="E74" s="23"/>
    </row>
    <row r="75" customFormat="false" ht="15" hidden="false" customHeight="false" outlineLevel="0" collapsed="false">
      <c r="E75" s="23"/>
    </row>
    <row r="76" customFormat="false" ht="15" hidden="false" customHeight="false" outlineLevel="0" collapsed="false">
      <c r="E76" s="23"/>
    </row>
    <row r="77" customFormat="false" ht="15" hidden="false" customHeight="false" outlineLevel="0" collapsed="false">
      <c r="E77" s="23"/>
    </row>
    <row r="78" customFormat="false" ht="15" hidden="false" customHeight="false" outlineLevel="0" collapsed="false">
      <c r="E78" s="23"/>
    </row>
    <row r="79" customFormat="false" ht="15" hidden="false" customHeight="false" outlineLevel="0" collapsed="false">
      <c r="E79" s="23"/>
    </row>
    <row r="80" customFormat="false" ht="15" hidden="false" customHeight="false" outlineLevel="0" collapsed="false">
      <c r="E80" s="23"/>
    </row>
    <row r="81" customFormat="false" ht="15" hidden="false" customHeight="false" outlineLevel="0" collapsed="false">
      <c r="E81" s="23"/>
    </row>
    <row r="82" customFormat="false" ht="15" hidden="false" customHeight="false" outlineLevel="0" collapsed="false">
      <c r="E82" s="23"/>
    </row>
    <row r="83" customFormat="false" ht="15" hidden="false" customHeight="false" outlineLevel="0" collapsed="false">
      <c r="E83" s="23"/>
    </row>
    <row r="84" customFormat="false" ht="15" hidden="false" customHeight="false" outlineLevel="0" collapsed="false">
      <c r="E84" s="23"/>
    </row>
    <row r="85" customFormat="false" ht="15" hidden="false" customHeight="false" outlineLevel="0" collapsed="false">
      <c r="E85" s="23"/>
    </row>
    <row r="86" customFormat="false" ht="15" hidden="false" customHeight="false" outlineLevel="0" collapsed="false">
      <c r="E86" s="23"/>
    </row>
    <row r="87" customFormat="false" ht="15" hidden="false" customHeight="false" outlineLevel="0" collapsed="false">
      <c r="E87" s="23"/>
    </row>
    <row r="88" customFormat="false" ht="15" hidden="false" customHeight="false" outlineLevel="0" collapsed="false">
      <c r="E88" s="23"/>
    </row>
    <row r="89" customFormat="false" ht="15" hidden="false" customHeight="false" outlineLevel="0" collapsed="false">
      <c r="E89" s="23"/>
    </row>
    <row r="90" customFormat="false" ht="15" hidden="false" customHeight="false" outlineLevel="0" collapsed="false">
      <c r="E90" s="23"/>
    </row>
    <row r="91" customFormat="false" ht="15" hidden="false" customHeight="false" outlineLevel="0" collapsed="false">
      <c r="E91" s="23"/>
    </row>
    <row r="92" customFormat="false" ht="15" hidden="false" customHeight="false" outlineLevel="0" collapsed="false">
      <c r="E92" s="23"/>
    </row>
    <row r="93" customFormat="false" ht="15" hidden="false" customHeight="false" outlineLevel="0" collapsed="false">
      <c r="E93" s="23"/>
    </row>
    <row r="94" customFormat="false" ht="15" hidden="false" customHeight="false" outlineLevel="0" collapsed="false">
      <c r="E94" s="23"/>
    </row>
    <row r="95" customFormat="false" ht="15" hidden="false" customHeight="false" outlineLevel="0" collapsed="false">
      <c r="E95" s="23"/>
    </row>
    <row r="96" customFormat="false" ht="15" hidden="false" customHeight="false" outlineLevel="0" collapsed="false">
      <c r="E96" s="23"/>
    </row>
    <row r="97" customFormat="false" ht="15" hidden="false" customHeight="false" outlineLevel="0" collapsed="false">
      <c r="E97" s="23"/>
    </row>
    <row r="98" customFormat="false" ht="15" hidden="false" customHeight="false" outlineLevel="0" collapsed="false">
      <c r="E98" s="23"/>
    </row>
    <row r="99" customFormat="false" ht="15" hidden="false" customHeight="false" outlineLevel="0" collapsed="false">
      <c r="E99" s="23"/>
    </row>
    <row r="100" customFormat="false" ht="15" hidden="false" customHeight="false" outlineLevel="0" collapsed="false">
      <c r="E100" s="23"/>
    </row>
    <row r="101" customFormat="false" ht="15" hidden="false" customHeight="false" outlineLevel="0" collapsed="false">
      <c r="E101" s="23"/>
    </row>
    <row r="102" customFormat="false" ht="15" hidden="false" customHeight="false" outlineLevel="0" collapsed="false">
      <c r="E102" s="23"/>
    </row>
    <row r="103" customFormat="false" ht="15" hidden="false" customHeight="false" outlineLevel="0" collapsed="false">
      <c r="E103" s="23"/>
    </row>
    <row r="104" customFormat="false" ht="15" hidden="false" customHeight="false" outlineLevel="0" collapsed="false">
      <c r="E104" s="23"/>
    </row>
    <row r="105" customFormat="false" ht="15" hidden="false" customHeight="false" outlineLevel="0" collapsed="false">
      <c r="E105" s="23"/>
    </row>
    <row r="106" customFormat="false" ht="15" hidden="false" customHeight="false" outlineLevel="0" collapsed="false">
      <c r="E106" s="23"/>
    </row>
    <row r="107" customFormat="false" ht="15" hidden="false" customHeight="false" outlineLevel="0" collapsed="false">
      <c r="E107" s="23"/>
    </row>
    <row r="108" customFormat="false" ht="15" hidden="false" customHeight="false" outlineLevel="0" collapsed="false">
      <c r="E108" s="23"/>
    </row>
    <row r="109" customFormat="false" ht="15" hidden="false" customHeight="false" outlineLevel="0" collapsed="false">
      <c r="E109" s="23"/>
    </row>
    <row r="110" customFormat="false" ht="15" hidden="false" customHeight="false" outlineLevel="0" collapsed="false">
      <c r="E110" s="23"/>
    </row>
    <row r="111" customFormat="false" ht="15" hidden="false" customHeight="false" outlineLevel="0" collapsed="false">
      <c r="E111" s="23"/>
    </row>
    <row r="112" customFormat="false" ht="15" hidden="false" customHeight="false" outlineLevel="0" collapsed="false">
      <c r="E112" s="23"/>
    </row>
    <row r="113" customFormat="false" ht="15" hidden="false" customHeight="false" outlineLevel="0" collapsed="false">
      <c r="E113" s="23"/>
    </row>
    <row r="114" customFormat="false" ht="15" hidden="false" customHeight="false" outlineLevel="0" collapsed="false">
      <c r="E114" s="23"/>
    </row>
    <row r="115" customFormat="false" ht="15" hidden="false" customHeight="false" outlineLevel="0" collapsed="false">
      <c r="E115" s="23"/>
    </row>
    <row r="116" customFormat="false" ht="15" hidden="false" customHeight="false" outlineLevel="0" collapsed="false">
      <c r="E116" s="23"/>
    </row>
    <row r="117" customFormat="false" ht="15" hidden="false" customHeight="false" outlineLevel="0" collapsed="false">
      <c r="E117" s="23"/>
    </row>
    <row r="118" customFormat="false" ht="15" hidden="false" customHeight="false" outlineLevel="0" collapsed="false">
      <c r="E118" s="23"/>
    </row>
    <row r="119" customFormat="false" ht="15" hidden="false" customHeight="false" outlineLevel="0" collapsed="false">
      <c r="E119" s="23"/>
    </row>
    <row r="120" customFormat="false" ht="15" hidden="false" customHeight="false" outlineLevel="0" collapsed="false">
      <c r="E120" s="23"/>
    </row>
    <row r="121" customFormat="false" ht="15" hidden="false" customHeight="false" outlineLevel="0" collapsed="false">
      <c r="E121" s="23"/>
    </row>
    <row r="122" customFormat="false" ht="15" hidden="false" customHeight="false" outlineLevel="0" collapsed="false">
      <c r="E122" s="23"/>
    </row>
    <row r="123" customFormat="false" ht="15" hidden="false" customHeight="false" outlineLevel="0" collapsed="false">
      <c r="E123" s="23"/>
    </row>
    <row r="124" customFormat="false" ht="15" hidden="false" customHeight="false" outlineLevel="0" collapsed="false">
      <c r="E124" s="23"/>
    </row>
    <row r="125" customFormat="false" ht="15" hidden="false" customHeight="false" outlineLevel="0" collapsed="false">
      <c r="E125" s="23"/>
    </row>
    <row r="126" customFormat="false" ht="15" hidden="false" customHeight="false" outlineLevel="0" collapsed="false">
      <c r="E126" s="23"/>
    </row>
    <row r="127" customFormat="false" ht="15" hidden="false" customHeight="false" outlineLevel="0" collapsed="false">
      <c r="E127" s="23"/>
    </row>
    <row r="128" customFormat="false" ht="15" hidden="false" customHeight="false" outlineLevel="0" collapsed="false">
      <c r="E128" s="23"/>
    </row>
    <row r="129" customFormat="false" ht="15" hidden="false" customHeight="false" outlineLevel="0" collapsed="false">
      <c r="E129" s="23"/>
    </row>
    <row r="130" customFormat="false" ht="15" hidden="false" customHeight="false" outlineLevel="0" collapsed="false">
      <c r="E130" s="23"/>
    </row>
    <row r="131" customFormat="false" ht="15" hidden="false" customHeight="false" outlineLevel="0" collapsed="false">
      <c r="E131" s="23"/>
    </row>
    <row r="132" customFormat="false" ht="15" hidden="false" customHeight="false" outlineLevel="0" collapsed="false">
      <c r="E132" s="23"/>
    </row>
    <row r="133" customFormat="false" ht="15" hidden="false" customHeight="false" outlineLevel="0" collapsed="false">
      <c r="E133" s="23"/>
    </row>
    <row r="134" customFormat="false" ht="15" hidden="false" customHeight="false" outlineLevel="0" collapsed="false">
      <c r="E134" s="23"/>
    </row>
    <row r="135" customFormat="false" ht="15" hidden="false" customHeight="false" outlineLevel="0" collapsed="false">
      <c r="E135" s="23"/>
    </row>
    <row r="136" customFormat="false" ht="15" hidden="false" customHeight="false" outlineLevel="0" collapsed="false">
      <c r="E136" s="23"/>
    </row>
    <row r="137" customFormat="false" ht="15" hidden="false" customHeight="false" outlineLevel="0" collapsed="false">
      <c r="E137" s="23"/>
    </row>
    <row r="138" customFormat="false" ht="15" hidden="false" customHeight="false" outlineLevel="0" collapsed="false">
      <c r="E138" s="23"/>
    </row>
    <row r="139" customFormat="false" ht="15" hidden="false" customHeight="false" outlineLevel="0" collapsed="false">
      <c r="E139" s="23"/>
    </row>
    <row r="140" customFormat="false" ht="15" hidden="false" customHeight="false" outlineLevel="0" collapsed="false">
      <c r="E140" s="23"/>
    </row>
    <row r="141" customFormat="false" ht="15" hidden="false" customHeight="false" outlineLevel="0" collapsed="false">
      <c r="E141" s="23"/>
    </row>
    <row r="142" customFormat="false" ht="15" hidden="false" customHeight="false" outlineLevel="0" collapsed="false">
      <c r="E142" s="23"/>
    </row>
    <row r="143" customFormat="false" ht="15" hidden="false" customHeight="false" outlineLevel="0" collapsed="false">
      <c r="E143" s="23"/>
    </row>
    <row r="144" customFormat="false" ht="15" hidden="false" customHeight="false" outlineLevel="0" collapsed="false">
      <c r="E144" s="23"/>
    </row>
    <row r="145" customFormat="false" ht="15" hidden="false" customHeight="false" outlineLevel="0" collapsed="false">
      <c r="E145" s="23"/>
    </row>
    <row r="146" customFormat="false" ht="15" hidden="false" customHeight="false" outlineLevel="0" collapsed="false">
      <c r="E146" s="23"/>
    </row>
    <row r="147" customFormat="false" ht="15" hidden="false" customHeight="false" outlineLevel="0" collapsed="false">
      <c r="E147" s="23"/>
    </row>
    <row r="148" customFormat="false" ht="15" hidden="false" customHeight="false" outlineLevel="0" collapsed="false">
      <c r="E148" s="23"/>
    </row>
    <row r="149" customFormat="false" ht="15" hidden="false" customHeight="false" outlineLevel="0" collapsed="false">
      <c r="E149" s="23"/>
    </row>
    <row r="150" customFormat="false" ht="15" hidden="false" customHeight="false" outlineLevel="0" collapsed="false">
      <c r="E150" s="23"/>
    </row>
    <row r="151" customFormat="false" ht="15" hidden="false" customHeight="false" outlineLevel="0" collapsed="false">
      <c r="E151" s="23"/>
    </row>
    <row r="152" customFormat="false" ht="15" hidden="false" customHeight="false" outlineLevel="0" collapsed="false">
      <c r="E152" s="23"/>
    </row>
    <row r="153" customFormat="false" ht="15" hidden="false" customHeight="false" outlineLevel="0" collapsed="false">
      <c r="E153" s="23"/>
    </row>
    <row r="154" customFormat="false" ht="15" hidden="false" customHeight="false" outlineLevel="0" collapsed="false">
      <c r="E154" s="23"/>
    </row>
    <row r="155" customFormat="false" ht="15" hidden="false" customHeight="false" outlineLevel="0" collapsed="false">
      <c r="E155" s="23"/>
    </row>
    <row r="156" customFormat="false" ht="15" hidden="false" customHeight="false" outlineLevel="0" collapsed="false">
      <c r="E156" s="23"/>
    </row>
    <row r="157" customFormat="false" ht="15" hidden="false" customHeight="false" outlineLevel="0" collapsed="false">
      <c r="E157" s="23"/>
    </row>
    <row r="158" customFormat="false" ht="15" hidden="false" customHeight="false" outlineLevel="0" collapsed="false">
      <c r="E158" s="23"/>
    </row>
    <row r="159" customFormat="false" ht="15" hidden="false" customHeight="false" outlineLevel="0" collapsed="false">
      <c r="E159" s="23"/>
    </row>
    <row r="160" customFormat="false" ht="15" hidden="false" customHeight="false" outlineLevel="0" collapsed="false">
      <c r="E160" s="23"/>
    </row>
    <row r="161" customFormat="false" ht="15" hidden="false" customHeight="false" outlineLevel="0" collapsed="false">
      <c r="E161" s="23"/>
    </row>
    <row r="162" customFormat="false" ht="15" hidden="false" customHeight="false" outlineLevel="0" collapsed="false">
      <c r="E162" s="23"/>
    </row>
    <row r="163" customFormat="false" ht="15" hidden="false" customHeight="false" outlineLevel="0" collapsed="false">
      <c r="E163" s="23"/>
    </row>
    <row r="164" customFormat="false" ht="15" hidden="false" customHeight="false" outlineLevel="0" collapsed="false">
      <c r="E164" s="23"/>
    </row>
    <row r="165" customFormat="false" ht="15" hidden="false" customHeight="false" outlineLevel="0" collapsed="false">
      <c r="E165" s="23"/>
    </row>
    <row r="166" customFormat="false" ht="15" hidden="false" customHeight="false" outlineLevel="0" collapsed="false">
      <c r="E166" s="23"/>
    </row>
    <row r="167" customFormat="false" ht="15" hidden="false" customHeight="false" outlineLevel="0" collapsed="false">
      <c r="E167" s="23"/>
    </row>
    <row r="168" customFormat="false" ht="15" hidden="false" customHeight="false" outlineLevel="0" collapsed="false">
      <c r="E168" s="23"/>
    </row>
    <row r="169" customFormat="false" ht="15" hidden="false" customHeight="false" outlineLevel="0" collapsed="false">
      <c r="E169" s="23"/>
    </row>
    <row r="170" customFormat="false" ht="15" hidden="false" customHeight="false" outlineLevel="0" collapsed="false">
      <c r="E170" s="23"/>
    </row>
    <row r="171" customFormat="false" ht="15" hidden="false" customHeight="false" outlineLevel="0" collapsed="false">
      <c r="E171" s="23"/>
    </row>
    <row r="172" customFormat="false" ht="15" hidden="false" customHeight="false" outlineLevel="0" collapsed="false">
      <c r="E172" s="23"/>
    </row>
    <row r="173" customFormat="false" ht="15" hidden="false" customHeight="false" outlineLevel="0" collapsed="false">
      <c r="E173" s="23"/>
    </row>
    <row r="174" customFormat="false" ht="15" hidden="false" customHeight="false" outlineLevel="0" collapsed="false">
      <c r="E174" s="23"/>
    </row>
    <row r="175" customFormat="false" ht="15" hidden="false" customHeight="false" outlineLevel="0" collapsed="false">
      <c r="E175" s="23"/>
    </row>
    <row r="176" customFormat="false" ht="15" hidden="false" customHeight="false" outlineLevel="0" collapsed="false">
      <c r="E176" s="23"/>
    </row>
    <row r="177" customFormat="false" ht="15" hidden="false" customHeight="false" outlineLevel="0" collapsed="false">
      <c r="E177" s="23"/>
    </row>
    <row r="178" customFormat="false" ht="15" hidden="false" customHeight="false" outlineLevel="0" collapsed="false">
      <c r="E178" s="23"/>
    </row>
    <row r="179" customFormat="false" ht="15" hidden="false" customHeight="false" outlineLevel="0" collapsed="false">
      <c r="E179" s="23"/>
    </row>
    <row r="180" customFormat="false" ht="15" hidden="false" customHeight="false" outlineLevel="0" collapsed="false">
      <c r="E180" s="23"/>
    </row>
    <row r="181" customFormat="false" ht="15" hidden="false" customHeight="false" outlineLevel="0" collapsed="false">
      <c r="E181" s="23"/>
    </row>
    <row r="182" customFormat="false" ht="15" hidden="false" customHeight="false" outlineLevel="0" collapsed="false">
      <c r="E182" s="23"/>
    </row>
    <row r="183" customFormat="false" ht="15" hidden="false" customHeight="false" outlineLevel="0" collapsed="false">
      <c r="E183" s="23"/>
    </row>
    <row r="184" customFormat="false" ht="15" hidden="false" customHeight="false" outlineLevel="0" collapsed="false">
      <c r="E184" s="23"/>
    </row>
    <row r="185" customFormat="false" ht="15" hidden="false" customHeight="false" outlineLevel="0" collapsed="false">
      <c r="E185" s="23"/>
    </row>
    <row r="186" customFormat="false" ht="15" hidden="false" customHeight="false" outlineLevel="0" collapsed="false">
      <c r="E186" s="23"/>
    </row>
    <row r="187" customFormat="false" ht="15" hidden="false" customHeight="false" outlineLevel="0" collapsed="false">
      <c r="E187" s="23"/>
    </row>
    <row r="188" customFormat="false" ht="15" hidden="false" customHeight="false" outlineLevel="0" collapsed="false">
      <c r="E188" s="23"/>
    </row>
    <row r="189" customFormat="false" ht="15" hidden="false" customHeight="false" outlineLevel="0" collapsed="false">
      <c r="E189" s="23"/>
    </row>
    <row r="190" customFormat="false" ht="15" hidden="false" customHeight="false" outlineLevel="0" collapsed="false">
      <c r="E190" s="23"/>
    </row>
    <row r="191" customFormat="false" ht="15" hidden="false" customHeight="false" outlineLevel="0" collapsed="false">
      <c r="E191" s="23"/>
    </row>
    <row r="192" customFormat="false" ht="15" hidden="false" customHeight="false" outlineLevel="0" collapsed="false">
      <c r="E192" s="23"/>
    </row>
    <row r="193" customFormat="false" ht="15" hidden="false" customHeight="false" outlineLevel="0" collapsed="false">
      <c r="E193" s="23"/>
    </row>
    <row r="194" customFormat="false" ht="15" hidden="false" customHeight="false" outlineLevel="0" collapsed="false">
      <c r="E194" s="23"/>
    </row>
    <row r="195" customFormat="false" ht="15" hidden="false" customHeight="false" outlineLevel="0" collapsed="false">
      <c r="E195" s="23"/>
    </row>
    <row r="196" customFormat="false" ht="15" hidden="false" customHeight="false" outlineLevel="0" collapsed="false">
      <c r="E196" s="23"/>
    </row>
    <row r="197" customFormat="false" ht="15" hidden="false" customHeight="false" outlineLevel="0" collapsed="false">
      <c r="E197" s="23"/>
    </row>
    <row r="198" customFormat="false" ht="15" hidden="false" customHeight="false" outlineLevel="0" collapsed="false">
      <c r="E198" s="23"/>
    </row>
    <row r="199" customFormat="false" ht="15" hidden="false" customHeight="false" outlineLevel="0" collapsed="false">
      <c r="E199" s="23"/>
    </row>
    <row r="200" customFormat="false" ht="15" hidden="false" customHeight="false" outlineLevel="0" collapsed="false">
      <c r="E200" s="23"/>
    </row>
  </sheetData>
  <autoFilter ref="A1:G4"/>
  <conditionalFormatting sqref="E2:E1000">
    <cfRule type="expression" priority="2" aboveAverage="0" equalAverage="0" bottom="0" percent="0" rank="0" text="" dxfId="16">
      <formula>AND(ISNUMBER(E2),E2&lt;TODAY(),F2&lt;&gt;"afgerond")</formula>
    </cfRule>
  </conditionalFormatting>
  <dataValidations count="2">
    <dataValidation allowBlank="true" error="Vul een datum in, bijv. 2026-10-31." errorStyle="stop" errorTitle="Datum" operator="greaterThan" showDropDown="false" showErrorMessage="true" showInputMessage="false" sqref="E2:E1000" type="date">
      <formula1>DATE(2000,1,1)</formula1>
      <formula2>0</formula2>
    </dataValidation>
    <dataValidation allowBlank="true" error="Kies een waarde uit de lijst." errorStyle="stop" errorTitle="Kies uit de lijst" operator="between" showDropDown="false" showErrorMessage="true" showInputMessage="false" sqref="F2:F1000" type="list">
      <formula1>"open,bezig,afgerond"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0"/>
    <col collapsed="false" customWidth="true" hidden="false" outlineLevel="0" max="4" min="4" style="0" width="70"/>
    <col collapsed="false" customWidth="true" hidden="false" outlineLevel="0" max="5" min="5" style="0" width="46"/>
  </cols>
  <sheetData>
    <row r="1" customFormat="false" ht="15" hidden="false" customHeight="false" outlineLevel="0" collapsed="false">
      <c r="A1" s="26" t="s">
        <v>276</v>
      </c>
      <c r="B1" s="26" t="s">
        <v>277</v>
      </c>
      <c r="C1" s="26" t="s">
        <v>278</v>
      </c>
      <c r="D1" s="26" t="s">
        <v>279</v>
      </c>
      <c r="E1" s="26" t="s">
        <v>280</v>
      </c>
    </row>
    <row r="2" customFormat="false" ht="15" hidden="false" customHeight="false" outlineLevel="0" collapsed="false">
      <c r="A2" s="21" t="s">
        <v>23</v>
      </c>
      <c r="B2" s="27" t="s">
        <v>55</v>
      </c>
      <c r="C2" s="21" t="s">
        <v>71</v>
      </c>
      <c r="D2" s="21" t="s">
        <v>281</v>
      </c>
      <c r="E2" s="21"/>
    </row>
    <row r="3" customFormat="false" ht="15" hidden="false" customHeight="false" outlineLevel="0" collapsed="false">
      <c r="A3" s="21" t="s">
        <v>23</v>
      </c>
      <c r="B3" s="27" t="s">
        <v>56</v>
      </c>
      <c r="C3" s="21"/>
      <c r="D3" s="21" t="s">
        <v>282</v>
      </c>
      <c r="E3" s="21"/>
    </row>
    <row r="4" customFormat="false" ht="15" hidden="false" customHeight="false" outlineLevel="0" collapsed="false">
      <c r="A4" s="21" t="s">
        <v>23</v>
      </c>
      <c r="B4" s="27" t="s">
        <v>57</v>
      </c>
      <c r="C4" s="21" t="s">
        <v>71</v>
      </c>
      <c r="D4" s="21" t="s">
        <v>283</v>
      </c>
      <c r="E4" s="21"/>
    </row>
    <row r="5" customFormat="false" ht="15" hidden="false" customHeight="false" outlineLevel="0" collapsed="false">
      <c r="A5" s="21" t="s">
        <v>23</v>
      </c>
      <c r="B5" s="27" t="s">
        <v>58</v>
      </c>
      <c r="C5" s="21" t="s">
        <v>71</v>
      </c>
      <c r="D5" s="21" t="s">
        <v>284</v>
      </c>
      <c r="E5" s="21" t="s">
        <v>285</v>
      </c>
    </row>
    <row r="6" customFormat="false" ht="23.85" hidden="false" customHeight="false" outlineLevel="0" collapsed="false">
      <c r="A6" s="21" t="s">
        <v>23</v>
      </c>
      <c r="B6" s="27" t="s">
        <v>59</v>
      </c>
      <c r="C6" s="21" t="s">
        <v>71</v>
      </c>
      <c r="D6" s="21" t="s">
        <v>286</v>
      </c>
      <c r="E6" s="21"/>
    </row>
    <row r="7" customFormat="false" ht="23.85" hidden="false" customHeight="false" outlineLevel="0" collapsed="false">
      <c r="A7" s="21" t="s">
        <v>23</v>
      </c>
      <c r="B7" s="27" t="s">
        <v>60</v>
      </c>
      <c r="C7" s="21" t="s">
        <v>71</v>
      </c>
      <c r="D7" s="21" t="s">
        <v>287</v>
      </c>
      <c r="E7" s="21" t="s">
        <v>288</v>
      </c>
    </row>
    <row r="8" customFormat="false" ht="15" hidden="false" customHeight="false" outlineLevel="0" collapsed="false">
      <c r="A8" s="21" t="s">
        <v>23</v>
      </c>
      <c r="B8" s="27" t="s">
        <v>61</v>
      </c>
      <c r="C8" s="21" t="s">
        <v>71</v>
      </c>
      <c r="D8" s="21" t="s">
        <v>289</v>
      </c>
      <c r="E8" s="21"/>
    </row>
    <row r="9" customFormat="false" ht="15" hidden="false" customHeight="false" outlineLevel="0" collapsed="false">
      <c r="A9" s="21" t="s">
        <v>23</v>
      </c>
      <c r="B9" s="27" t="s">
        <v>62</v>
      </c>
      <c r="C9" s="21" t="s">
        <v>71</v>
      </c>
      <c r="D9" s="21" t="s">
        <v>290</v>
      </c>
      <c r="E9" s="21" t="s">
        <v>291</v>
      </c>
    </row>
    <row r="10" customFormat="false" ht="15" hidden="false" customHeight="false" outlineLevel="0" collapsed="false">
      <c r="A10" s="21" t="s">
        <v>23</v>
      </c>
      <c r="B10" s="27" t="s">
        <v>63</v>
      </c>
      <c r="C10" s="21" t="s">
        <v>71</v>
      </c>
      <c r="D10" s="21" t="s">
        <v>292</v>
      </c>
      <c r="E10" s="21" t="s">
        <v>291</v>
      </c>
    </row>
    <row r="11" customFormat="false" ht="23.85" hidden="false" customHeight="false" outlineLevel="0" collapsed="false">
      <c r="A11" s="21" t="s">
        <v>23</v>
      </c>
      <c r="B11" s="27" t="s">
        <v>64</v>
      </c>
      <c r="C11" s="21"/>
      <c r="D11" s="21" t="s">
        <v>293</v>
      </c>
      <c r="E11" s="21"/>
    </row>
    <row r="12" customFormat="false" ht="23.85" hidden="false" customHeight="false" outlineLevel="0" collapsed="false">
      <c r="A12" s="21" t="s">
        <v>23</v>
      </c>
      <c r="B12" s="27" t="s">
        <v>65</v>
      </c>
      <c r="C12" s="21"/>
      <c r="D12" s="21" t="s">
        <v>294</v>
      </c>
      <c r="E12" s="21"/>
    </row>
    <row r="13" customFormat="false" ht="23.85" hidden="false" customHeight="false" outlineLevel="0" collapsed="false">
      <c r="A13" s="21" t="s">
        <v>23</v>
      </c>
      <c r="B13" s="27" t="s">
        <v>66</v>
      </c>
      <c r="C13" s="21"/>
      <c r="D13" s="21" t="s">
        <v>295</v>
      </c>
      <c r="E13" s="21"/>
    </row>
    <row r="14" customFormat="false" ht="15" hidden="false" customHeight="false" outlineLevel="0" collapsed="false">
      <c r="A14" s="21" t="s">
        <v>23</v>
      </c>
      <c r="B14" s="27" t="s">
        <v>67</v>
      </c>
      <c r="C14" s="21"/>
      <c r="D14" s="21" t="s">
        <v>296</v>
      </c>
      <c r="E14" s="21"/>
    </row>
    <row r="15" customFormat="false" ht="15" hidden="false" customHeight="false" outlineLevel="0" collapsed="false">
      <c r="A15" s="21" t="s">
        <v>297</v>
      </c>
      <c r="B15" s="27" t="s">
        <v>155</v>
      </c>
      <c r="C15" s="21" t="s">
        <v>71</v>
      </c>
      <c r="D15" s="21" t="s">
        <v>298</v>
      </c>
      <c r="E15" s="21"/>
    </row>
    <row r="16" customFormat="false" ht="15" hidden="false" customHeight="false" outlineLevel="0" collapsed="false">
      <c r="A16" s="21" t="s">
        <v>297</v>
      </c>
      <c r="B16" s="27" t="s">
        <v>156</v>
      </c>
      <c r="C16" s="21" t="s">
        <v>71</v>
      </c>
      <c r="D16" s="21" t="s">
        <v>299</v>
      </c>
      <c r="E16" s="21"/>
    </row>
    <row r="17" customFormat="false" ht="35.05" hidden="false" customHeight="false" outlineLevel="0" collapsed="false">
      <c r="A17" s="21" t="s">
        <v>297</v>
      </c>
      <c r="B17" s="27" t="s">
        <v>157</v>
      </c>
      <c r="C17" s="21" t="s">
        <v>71</v>
      </c>
      <c r="D17" s="21" t="s">
        <v>300</v>
      </c>
      <c r="E17" s="21" t="s">
        <v>301</v>
      </c>
    </row>
    <row r="18" customFormat="false" ht="15" hidden="false" customHeight="false" outlineLevel="0" collapsed="false">
      <c r="A18" s="21" t="s">
        <v>297</v>
      </c>
      <c r="B18" s="27" t="s">
        <v>158</v>
      </c>
      <c r="C18" s="21" t="s">
        <v>71</v>
      </c>
      <c r="D18" s="21" t="s">
        <v>302</v>
      </c>
      <c r="E18" s="21"/>
    </row>
    <row r="19" customFormat="false" ht="15" hidden="false" customHeight="false" outlineLevel="0" collapsed="false">
      <c r="A19" s="21" t="s">
        <v>297</v>
      </c>
      <c r="B19" s="27" t="s">
        <v>159</v>
      </c>
      <c r="C19" s="21" t="s">
        <v>71</v>
      </c>
      <c r="D19" s="21" t="s">
        <v>303</v>
      </c>
      <c r="E19" s="21" t="s">
        <v>291</v>
      </c>
    </row>
    <row r="20" customFormat="false" ht="15" hidden="false" customHeight="false" outlineLevel="0" collapsed="false">
      <c r="A20" s="21" t="s">
        <v>297</v>
      </c>
      <c r="B20" s="27" t="s">
        <v>160</v>
      </c>
      <c r="C20" s="21" t="s">
        <v>71</v>
      </c>
      <c r="D20" s="21" t="s">
        <v>304</v>
      </c>
      <c r="E20" s="21"/>
    </row>
    <row r="21" customFormat="false" ht="23.85" hidden="false" customHeight="false" outlineLevel="0" collapsed="false">
      <c r="A21" s="21" t="s">
        <v>297</v>
      </c>
      <c r="B21" s="27" t="s">
        <v>161</v>
      </c>
      <c r="C21" s="21"/>
      <c r="D21" s="21" t="s">
        <v>305</v>
      </c>
      <c r="E21" s="21" t="s">
        <v>291</v>
      </c>
    </row>
    <row r="22" customFormat="false" ht="23.85" hidden="false" customHeight="false" outlineLevel="0" collapsed="false">
      <c r="A22" s="21" t="s">
        <v>297</v>
      </c>
      <c r="B22" s="27" t="s">
        <v>162</v>
      </c>
      <c r="C22" s="21"/>
      <c r="D22" s="21" t="s">
        <v>306</v>
      </c>
      <c r="E22" s="21"/>
    </row>
    <row r="23" customFormat="false" ht="15" hidden="false" customHeight="false" outlineLevel="0" collapsed="false">
      <c r="A23" s="21" t="s">
        <v>297</v>
      </c>
      <c r="B23" s="27" t="s">
        <v>163</v>
      </c>
      <c r="C23" s="21"/>
      <c r="D23" s="21" t="s">
        <v>307</v>
      </c>
      <c r="E23" s="21" t="s">
        <v>308</v>
      </c>
    </row>
    <row r="24" customFormat="false" ht="23.85" hidden="false" customHeight="false" outlineLevel="0" collapsed="false">
      <c r="A24" s="21" t="s">
        <v>297</v>
      </c>
      <c r="B24" s="27" t="s">
        <v>164</v>
      </c>
      <c r="C24" s="21" t="s">
        <v>71</v>
      </c>
      <c r="D24" s="21" t="s">
        <v>309</v>
      </c>
      <c r="E24" s="21" t="s">
        <v>310</v>
      </c>
    </row>
    <row r="25" customFormat="false" ht="23.85" hidden="false" customHeight="false" outlineLevel="0" collapsed="false">
      <c r="A25" s="21" t="s">
        <v>297</v>
      </c>
      <c r="B25" s="27" t="s">
        <v>165</v>
      </c>
      <c r="C25" s="21"/>
      <c r="D25" s="21" t="s">
        <v>311</v>
      </c>
      <c r="E25" s="21"/>
    </row>
    <row r="26" customFormat="false" ht="15" hidden="false" customHeight="false" outlineLevel="0" collapsed="false">
      <c r="A26" s="21" t="s">
        <v>297</v>
      </c>
      <c r="B26" s="27" t="s">
        <v>166</v>
      </c>
      <c r="C26" s="21"/>
      <c r="D26" s="21" t="s">
        <v>312</v>
      </c>
      <c r="E26" s="21" t="s">
        <v>313</v>
      </c>
    </row>
    <row r="27" customFormat="false" ht="35.05" hidden="false" customHeight="false" outlineLevel="0" collapsed="false">
      <c r="A27" s="21" t="s">
        <v>297</v>
      </c>
      <c r="B27" s="27" t="s">
        <v>167</v>
      </c>
      <c r="C27" s="21"/>
      <c r="D27" s="21" t="s">
        <v>314</v>
      </c>
      <c r="E27" s="21"/>
    </row>
    <row r="28" customFormat="false" ht="15" hidden="false" customHeight="false" outlineLevel="0" collapsed="false">
      <c r="A28" s="21" t="s">
        <v>297</v>
      </c>
      <c r="B28" s="27" t="s">
        <v>67</v>
      </c>
      <c r="C28" s="21"/>
      <c r="D28" s="21" t="s">
        <v>296</v>
      </c>
      <c r="E28" s="21"/>
    </row>
    <row r="29" customFormat="false" ht="15" hidden="false" customHeight="false" outlineLevel="0" collapsed="false">
      <c r="A29" s="21" t="s">
        <v>65</v>
      </c>
      <c r="B29" s="27" t="s">
        <v>266</v>
      </c>
      <c r="C29" s="21" t="s">
        <v>71</v>
      </c>
      <c r="D29" s="21" t="s">
        <v>315</v>
      </c>
      <c r="E29" s="21"/>
    </row>
    <row r="30" customFormat="false" ht="15" hidden="false" customHeight="false" outlineLevel="0" collapsed="false">
      <c r="A30" s="21" t="s">
        <v>65</v>
      </c>
      <c r="B30" s="27" t="s">
        <v>267</v>
      </c>
      <c r="C30" s="21" t="s">
        <v>71</v>
      </c>
      <c r="D30" s="21" t="s">
        <v>316</v>
      </c>
      <c r="E30" s="21"/>
    </row>
    <row r="31" customFormat="false" ht="15" hidden="false" customHeight="false" outlineLevel="0" collapsed="false">
      <c r="A31" s="21" t="s">
        <v>65</v>
      </c>
      <c r="B31" s="27" t="s">
        <v>268</v>
      </c>
      <c r="C31" s="21" t="s">
        <v>71</v>
      </c>
      <c r="D31" s="21" t="s">
        <v>317</v>
      </c>
      <c r="E31" s="21"/>
    </row>
    <row r="32" customFormat="false" ht="15" hidden="false" customHeight="false" outlineLevel="0" collapsed="false">
      <c r="A32" s="21" t="s">
        <v>65</v>
      </c>
      <c r="B32" s="27" t="s">
        <v>160</v>
      </c>
      <c r="C32" s="21" t="s">
        <v>71</v>
      </c>
      <c r="D32" s="21" t="s">
        <v>318</v>
      </c>
      <c r="E32" s="21"/>
    </row>
    <row r="33" customFormat="false" ht="23.85" hidden="false" customHeight="false" outlineLevel="0" collapsed="false">
      <c r="A33" s="21" t="s">
        <v>65</v>
      </c>
      <c r="B33" s="27" t="s">
        <v>269</v>
      </c>
      <c r="C33" s="21" t="s">
        <v>71</v>
      </c>
      <c r="D33" s="21" t="s">
        <v>319</v>
      </c>
      <c r="E33" s="21" t="s">
        <v>291</v>
      </c>
    </row>
    <row r="34" customFormat="false" ht="15" hidden="false" customHeight="false" outlineLevel="0" collapsed="false">
      <c r="A34" s="21" t="s">
        <v>65</v>
      </c>
      <c r="B34" s="27" t="s">
        <v>164</v>
      </c>
      <c r="C34" s="21" t="s">
        <v>71</v>
      </c>
      <c r="D34" s="21" t="s">
        <v>320</v>
      </c>
      <c r="E34" s="21" t="s">
        <v>321</v>
      </c>
    </row>
    <row r="35" customFormat="false" ht="15" hidden="false" customHeight="false" outlineLevel="0" collapsed="false">
      <c r="A35" s="21" t="s">
        <v>65</v>
      </c>
      <c r="B35" s="27" t="s">
        <v>270</v>
      </c>
      <c r="C35" s="21"/>
      <c r="D35" s="21" t="s">
        <v>322</v>
      </c>
      <c r="E35" s="21"/>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2026-10-11T21:41:52Z</dcterms:created>
  <dc:creator>Holdvero</dc:creator>
  <dc:description/>
  <dc:language>en-US</dc:language>
  <cp:lastModifiedBy/>
  <dcterms:modified xsi:type="dcterms:W3CDTF">2026-10-11T21:41:53Z</dcterms:modified>
  <cp:revision>0</cp:revision>
  <dc:subject/>
  <dc:title>Open Evidence Pack</dc:title>
</cp:coreProperties>
</file>

<file path=docProps/custom.xml><?xml version="1.0" encoding="utf-8"?>
<Properties xmlns="http://schemas.openxmlformats.org/officeDocument/2006/custom-properties" xmlns:vt="http://schemas.openxmlformats.org/officeDocument/2006/docPropsVTypes"/>
</file>